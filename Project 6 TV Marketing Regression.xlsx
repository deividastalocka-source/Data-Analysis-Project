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uke4\Desktop\Project\"/>
    </mc:Choice>
  </mc:AlternateContent>
  <xr:revisionPtr revIDLastSave="0" documentId="8_{8763F996-F19D-44B8-9610-7BB398E71CD6}" xr6:coauthVersionLast="47" xr6:coauthVersionMax="47" xr10:uidLastSave="{00000000-0000-0000-0000-000000000000}"/>
  <bookViews>
    <workbookView xWindow="-120" yWindow="-120" windowWidth="29040" windowHeight="15720" firstSheet="2" activeTab="3" xr2:uid="{5DEE53BF-5B65-47E6-B495-094DC06DEF6B}"/>
  </bookViews>
  <sheets>
    <sheet name="Data" sheetId="1" r:id="rId1"/>
    <sheet name="Context" sheetId="2" r:id="rId2"/>
    <sheet name="Task" sheetId="3" r:id="rId3"/>
    <sheet name="Task 1 (Scatterplot Creation)" sheetId="4" r:id="rId4"/>
    <sheet name="Task 2 (Regression Analysis)" sheetId="6" r:id="rId5"/>
    <sheet name="Task 3 (Residual Analysis)" sheetId="7" r:id="rId6"/>
    <sheet name="Task 4 (Confidence Intervals)" sheetId="5" r:id="rId7"/>
    <sheet name="Task 5 (Hypothesis Testing)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F12" i="8"/>
  <c r="F8" i="8"/>
  <c r="F11" i="8"/>
  <c r="F10" i="8"/>
  <c r="F9" i="8"/>
  <c r="B213" i="7"/>
  <c r="B212" i="7"/>
  <c r="B210" i="7"/>
  <c r="B209" i="7"/>
  <c r="C200" i="7" s="1"/>
  <c r="D200" i="7" s="1"/>
  <c r="B207" i="7"/>
  <c r="B208" i="7" s="1"/>
  <c r="B206" i="7"/>
  <c r="B205" i="7"/>
  <c r="B204" i="7"/>
  <c r="D201" i="7"/>
  <c r="C201" i="7"/>
  <c r="C199" i="7"/>
  <c r="D199" i="7" s="1"/>
  <c r="C198" i="7"/>
  <c r="D198" i="7" s="1"/>
  <c r="C197" i="7"/>
  <c r="D197" i="7" s="1"/>
  <c r="C195" i="7"/>
  <c r="D195" i="7" s="1"/>
  <c r="C194" i="7"/>
  <c r="D194" i="7" s="1"/>
  <c r="C193" i="7"/>
  <c r="D193" i="7" s="1"/>
  <c r="C191" i="7"/>
  <c r="D191" i="7" s="1"/>
  <c r="C190" i="7"/>
  <c r="D190" i="7" s="1"/>
  <c r="C189" i="7"/>
  <c r="D189" i="7" s="1"/>
  <c r="C187" i="7"/>
  <c r="D187" i="7" s="1"/>
  <c r="C186" i="7"/>
  <c r="D186" i="7" s="1"/>
  <c r="C185" i="7"/>
  <c r="D185" i="7" s="1"/>
  <c r="C183" i="7"/>
  <c r="D183" i="7" s="1"/>
  <c r="C182" i="7"/>
  <c r="D182" i="7" s="1"/>
  <c r="C181" i="7"/>
  <c r="D181" i="7" s="1"/>
  <c r="C179" i="7"/>
  <c r="D179" i="7" s="1"/>
  <c r="C178" i="7"/>
  <c r="D178" i="7" s="1"/>
  <c r="C177" i="7"/>
  <c r="D177" i="7" s="1"/>
  <c r="C175" i="7"/>
  <c r="D175" i="7" s="1"/>
  <c r="C174" i="7"/>
  <c r="D174" i="7" s="1"/>
  <c r="C173" i="7"/>
  <c r="D173" i="7" s="1"/>
  <c r="C171" i="7"/>
  <c r="D171" i="7" s="1"/>
  <c r="C170" i="7"/>
  <c r="D170" i="7" s="1"/>
  <c r="C169" i="7"/>
  <c r="D169" i="7" s="1"/>
  <c r="C167" i="7"/>
  <c r="D167" i="7" s="1"/>
  <c r="C166" i="7"/>
  <c r="D166" i="7" s="1"/>
  <c r="C165" i="7"/>
  <c r="D165" i="7" s="1"/>
  <c r="C163" i="7"/>
  <c r="D163" i="7" s="1"/>
  <c r="C162" i="7"/>
  <c r="D162" i="7" s="1"/>
  <c r="C161" i="7"/>
  <c r="D161" i="7" s="1"/>
  <c r="C159" i="7"/>
  <c r="D159" i="7" s="1"/>
  <c r="C158" i="7"/>
  <c r="D158" i="7" s="1"/>
  <c r="C157" i="7"/>
  <c r="D157" i="7" s="1"/>
  <c r="C155" i="7"/>
  <c r="D155" i="7" s="1"/>
  <c r="C154" i="7"/>
  <c r="D154" i="7" s="1"/>
  <c r="C153" i="7"/>
  <c r="D153" i="7" s="1"/>
  <c r="C151" i="7"/>
  <c r="D151" i="7" s="1"/>
  <c r="C150" i="7"/>
  <c r="D150" i="7" s="1"/>
  <c r="C149" i="7"/>
  <c r="D149" i="7" s="1"/>
  <c r="C147" i="7"/>
  <c r="D147" i="7" s="1"/>
  <c r="C146" i="7"/>
  <c r="D146" i="7" s="1"/>
  <c r="C145" i="7"/>
  <c r="D145" i="7" s="1"/>
  <c r="C143" i="7"/>
  <c r="D143" i="7" s="1"/>
  <c r="C142" i="7"/>
  <c r="D142" i="7" s="1"/>
  <c r="C141" i="7"/>
  <c r="D141" i="7" s="1"/>
  <c r="C139" i="7"/>
  <c r="D139" i="7" s="1"/>
  <c r="C138" i="7"/>
  <c r="D138" i="7" s="1"/>
  <c r="C137" i="7"/>
  <c r="D137" i="7" s="1"/>
  <c r="C135" i="7"/>
  <c r="D135" i="7" s="1"/>
  <c r="C134" i="7"/>
  <c r="D134" i="7" s="1"/>
  <c r="C133" i="7"/>
  <c r="D133" i="7" s="1"/>
  <c r="C131" i="7"/>
  <c r="D131" i="7" s="1"/>
  <c r="C130" i="7"/>
  <c r="D130" i="7" s="1"/>
  <c r="C129" i="7"/>
  <c r="D129" i="7" s="1"/>
  <c r="C127" i="7"/>
  <c r="D127" i="7" s="1"/>
  <c r="C126" i="7"/>
  <c r="D126" i="7" s="1"/>
  <c r="C125" i="7"/>
  <c r="D125" i="7" s="1"/>
  <c r="C123" i="7"/>
  <c r="D123" i="7" s="1"/>
  <c r="C122" i="7"/>
  <c r="D122" i="7" s="1"/>
  <c r="C121" i="7"/>
  <c r="D121" i="7" s="1"/>
  <c r="C119" i="7"/>
  <c r="D119" i="7" s="1"/>
  <c r="C118" i="7"/>
  <c r="D118" i="7" s="1"/>
  <c r="C117" i="7"/>
  <c r="D117" i="7" s="1"/>
  <c r="C115" i="7"/>
  <c r="D115" i="7" s="1"/>
  <c r="C114" i="7"/>
  <c r="D114" i="7" s="1"/>
  <c r="C113" i="7"/>
  <c r="D113" i="7" s="1"/>
  <c r="C111" i="7"/>
  <c r="D111" i="7" s="1"/>
  <c r="C110" i="7"/>
  <c r="D110" i="7" s="1"/>
  <c r="C109" i="7"/>
  <c r="D109" i="7" s="1"/>
  <c r="C107" i="7"/>
  <c r="D107" i="7" s="1"/>
  <c r="C106" i="7"/>
  <c r="D106" i="7" s="1"/>
  <c r="C105" i="7"/>
  <c r="D105" i="7" s="1"/>
  <c r="C103" i="7"/>
  <c r="D103" i="7" s="1"/>
  <c r="C102" i="7"/>
  <c r="D102" i="7" s="1"/>
  <c r="C101" i="7"/>
  <c r="D101" i="7" s="1"/>
  <c r="C99" i="7"/>
  <c r="D99" i="7" s="1"/>
  <c r="C98" i="7"/>
  <c r="D98" i="7" s="1"/>
  <c r="C97" i="7"/>
  <c r="D97" i="7" s="1"/>
  <c r="C95" i="7"/>
  <c r="D95" i="7" s="1"/>
  <c r="C94" i="7"/>
  <c r="D94" i="7" s="1"/>
  <c r="C93" i="7"/>
  <c r="D93" i="7" s="1"/>
  <c r="C91" i="7"/>
  <c r="D91" i="7" s="1"/>
  <c r="C90" i="7"/>
  <c r="D90" i="7" s="1"/>
  <c r="C89" i="7"/>
  <c r="D89" i="7" s="1"/>
  <c r="C87" i="7"/>
  <c r="D87" i="7" s="1"/>
  <c r="C86" i="7"/>
  <c r="D86" i="7" s="1"/>
  <c r="C85" i="7"/>
  <c r="D85" i="7" s="1"/>
  <c r="C83" i="7"/>
  <c r="D83" i="7" s="1"/>
  <c r="C82" i="7"/>
  <c r="D82" i="7" s="1"/>
  <c r="C81" i="7"/>
  <c r="D81" i="7" s="1"/>
  <c r="C79" i="7"/>
  <c r="D79" i="7" s="1"/>
  <c r="C78" i="7"/>
  <c r="D78" i="7" s="1"/>
  <c r="C77" i="7"/>
  <c r="D77" i="7" s="1"/>
  <c r="C75" i="7"/>
  <c r="D75" i="7" s="1"/>
  <c r="C74" i="7"/>
  <c r="D74" i="7" s="1"/>
  <c r="C73" i="7"/>
  <c r="D73" i="7" s="1"/>
  <c r="C71" i="7"/>
  <c r="D71" i="7" s="1"/>
  <c r="C70" i="7"/>
  <c r="D70" i="7" s="1"/>
  <c r="C69" i="7"/>
  <c r="D69" i="7" s="1"/>
  <c r="C67" i="7"/>
  <c r="D67" i="7" s="1"/>
  <c r="C66" i="7"/>
  <c r="D66" i="7" s="1"/>
  <c r="C65" i="7"/>
  <c r="D65" i="7" s="1"/>
  <c r="C63" i="7"/>
  <c r="D63" i="7" s="1"/>
  <c r="D62" i="7"/>
  <c r="C62" i="7"/>
  <c r="C61" i="7"/>
  <c r="D61" i="7" s="1"/>
  <c r="C59" i="7"/>
  <c r="D59" i="7" s="1"/>
  <c r="C58" i="7"/>
  <c r="D58" i="7" s="1"/>
  <c r="C57" i="7"/>
  <c r="D57" i="7" s="1"/>
  <c r="D55" i="7"/>
  <c r="C55" i="7"/>
  <c r="C54" i="7"/>
  <c r="D54" i="7" s="1"/>
  <c r="D53" i="7"/>
  <c r="C53" i="7"/>
  <c r="C51" i="7"/>
  <c r="D51" i="7" s="1"/>
  <c r="C50" i="7"/>
  <c r="D50" i="7" s="1"/>
  <c r="C49" i="7"/>
  <c r="D49" i="7" s="1"/>
  <c r="C47" i="7"/>
  <c r="D47" i="7" s="1"/>
  <c r="D46" i="7"/>
  <c r="C46" i="7"/>
  <c r="C45" i="7"/>
  <c r="D45" i="7" s="1"/>
  <c r="C43" i="7"/>
  <c r="D43" i="7" s="1"/>
  <c r="C42" i="7"/>
  <c r="D42" i="7" s="1"/>
  <c r="C41" i="7"/>
  <c r="D41" i="7" s="1"/>
  <c r="D39" i="7"/>
  <c r="C39" i="7"/>
  <c r="C38" i="7"/>
  <c r="D38" i="7" s="1"/>
  <c r="D37" i="7"/>
  <c r="C37" i="7"/>
  <c r="C35" i="7"/>
  <c r="D35" i="7" s="1"/>
  <c r="C34" i="7"/>
  <c r="D34" i="7" s="1"/>
  <c r="C33" i="7"/>
  <c r="D33" i="7" s="1"/>
  <c r="C31" i="7"/>
  <c r="D31" i="7" s="1"/>
  <c r="D30" i="7"/>
  <c r="C30" i="7"/>
  <c r="C29" i="7"/>
  <c r="D29" i="7" s="1"/>
  <c r="C27" i="7"/>
  <c r="D27" i="7" s="1"/>
  <c r="C26" i="7"/>
  <c r="D26" i="7" s="1"/>
  <c r="C25" i="7"/>
  <c r="D25" i="7" s="1"/>
  <c r="D23" i="7"/>
  <c r="C23" i="7"/>
  <c r="C22" i="7"/>
  <c r="D22" i="7" s="1"/>
  <c r="D21" i="7"/>
  <c r="C21" i="7"/>
  <c r="C19" i="7"/>
  <c r="D19" i="7" s="1"/>
  <c r="C18" i="7"/>
  <c r="D18" i="7" s="1"/>
  <c r="C17" i="7"/>
  <c r="D17" i="7" s="1"/>
  <c r="C15" i="7"/>
  <c r="D15" i="7" s="1"/>
  <c r="D14" i="7"/>
  <c r="C14" i="7"/>
  <c r="C13" i="7"/>
  <c r="D13" i="7" s="1"/>
  <c r="C11" i="7"/>
  <c r="D11" i="7" s="1"/>
  <c r="C10" i="7"/>
  <c r="D10" i="7" s="1"/>
  <c r="C9" i="7"/>
  <c r="D9" i="7" s="1"/>
  <c r="D7" i="7"/>
  <c r="C7" i="7"/>
  <c r="C6" i="7"/>
  <c r="D6" i="7" s="1"/>
  <c r="D5" i="7"/>
  <c r="C5" i="7"/>
  <c r="C3" i="7"/>
  <c r="D3" i="7" s="1"/>
  <c r="C2" i="7"/>
  <c r="D2" i="7" s="1"/>
  <c r="E5" i="6"/>
  <c r="E4" i="6"/>
  <c r="E2" i="6"/>
  <c r="E3" i="6"/>
  <c r="E9" i="5"/>
  <c r="E6" i="5"/>
  <c r="E5" i="5"/>
  <c r="E4" i="5"/>
  <c r="B213" i="1"/>
  <c r="B212" i="1"/>
  <c r="B205" i="1"/>
  <c r="B210" i="1"/>
  <c r="B209" i="1"/>
  <c r="B207" i="1"/>
  <c r="B208" i="1" s="1"/>
  <c r="B206" i="1"/>
  <c r="B204" i="1"/>
  <c r="C4" i="7" l="1"/>
  <c r="D4" i="7" s="1"/>
  <c r="C8" i="7"/>
  <c r="D8" i="7" s="1"/>
  <c r="C12" i="7"/>
  <c r="D12" i="7" s="1"/>
  <c r="C16" i="7"/>
  <c r="D16" i="7" s="1"/>
  <c r="C20" i="7"/>
  <c r="D20" i="7" s="1"/>
  <c r="C24" i="7"/>
  <c r="D24" i="7" s="1"/>
  <c r="C28" i="7"/>
  <c r="D28" i="7" s="1"/>
  <c r="C32" i="7"/>
  <c r="D32" i="7" s="1"/>
  <c r="C36" i="7"/>
  <c r="D36" i="7" s="1"/>
  <c r="C40" i="7"/>
  <c r="D40" i="7" s="1"/>
  <c r="C44" i="7"/>
  <c r="D44" i="7" s="1"/>
  <c r="C48" i="7"/>
  <c r="D48" i="7" s="1"/>
  <c r="C52" i="7"/>
  <c r="D52" i="7" s="1"/>
  <c r="C56" i="7"/>
  <c r="D56" i="7" s="1"/>
  <c r="C60" i="7"/>
  <c r="D60" i="7" s="1"/>
  <c r="C64" i="7"/>
  <c r="D64" i="7" s="1"/>
  <c r="C68" i="7"/>
  <c r="D68" i="7" s="1"/>
  <c r="C72" i="7"/>
  <c r="D72" i="7" s="1"/>
  <c r="C76" i="7"/>
  <c r="D76" i="7" s="1"/>
  <c r="C80" i="7"/>
  <c r="D80" i="7" s="1"/>
  <c r="C84" i="7"/>
  <c r="D84" i="7" s="1"/>
  <c r="C88" i="7"/>
  <c r="D88" i="7" s="1"/>
  <c r="C92" i="7"/>
  <c r="D92" i="7" s="1"/>
  <c r="C96" i="7"/>
  <c r="D96" i="7" s="1"/>
  <c r="C100" i="7"/>
  <c r="D100" i="7" s="1"/>
  <c r="C104" i="7"/>
  <c r="D104" i="7" s="1"/>
  <c r="C108" i="7"/>
  <c r="D108" i="7" s="1"/>
  <c r="C112" i="7"/>
  <c r="D112" i="7" s="1"/>
  <c r="C116" i="7"/>
  <c r="D116" i="7" s="1"/>
  <c r="C120" i="7"/>
  <c r="D120" i="7" s="1"/>
  <c r="C124" i="7"/>
  <c r="D124" i="7" s="1"/>
  <c r="C128" i="7"/>
  <c r="D128" i="7" s="1"/>
  <c r="C132" i="7"/>
  <c r="D132" i="7" s="1"/>
  <c r="C136" i="7"/>
  <c r="D136" i="7" s="1"/>
  <c r="C140" i="7"/>
  <c r="D140" i="7" s="1"/>
  <c r="C144" i="7"/>
  <c r="D144" i="7" s="1"/>
  <c r="C148" i="7"/>
  <c r="D148" i="7" s="1"/>
  <c r="C152" i="7"/>
  <c r="D152" i="7" s="1"/>
  <c r="C156" i="7"/>
  <c r="D156" i="7" s="1"/>
  <c r="C160" i="7"/>
  <c r="D160" i="7" s="1"/>
  <c r="C164" i="7"/>
  <c r="D164" i="7" s="1"/>
  <c r="C168" i="7"/>
  <c r="D168" i="7" s="1"/>
  <c r="C172" i="7"/>
  <c r="D172" i="7" s="1"/>
  <c r="C176" i="7"/>
  <c r="D176" i="7" s="1"/>
  <c r="C180" i="7"/>
  <c r="D180" i="7" s="1"/>
  <c r="C184" i="7"/>
  <c r="D184" i="7" s="1"/>
  <c r="C188" i="7"/>
  <c r="D188" i="7" s="1"/>
  <c r="C192" i="7"/>
  <c r="D192" i="7" s="1"/>
  <c r="C196" i="7"/>
  <c r="D196" i="7" s="1"/>
  <c r="C42" i="1"/>
  <c r="D42" i="1" s="1"/>
  <c r="C201" i="1"/>
  <c r="D201" i="1" s="1"/>
  <c r="C153" i="1"/>
  <c r="D153" i="1" s="1"/>
  <c r="C89" i="1"/>
  <c r="D89" i="1" s="1"/>
  <c r="C170" i="1"/>
  <c r="D170" i="1" s="1"/>
  <c r="C106" i="1"/>
  <c r="D106" i="1" s="1"/>
  <c r="C50" i="1"/>
  <c r="D50" i="1" s="1"/>
  <c r="C190" i="1"/>
  <c r="D190" i="1" s="1"/>
  <c r="C169" i="1"/>
  <c r="D169" i="1" s="1"/>
  <c r="C146" i="1"/>
  <c r="D146" i="1" s="1"/>
  <c r="C126" i="1"/>
  <c r="D126" i="1" s="1"/>
  <c r="C105" i="1"/>
  <c r="D105" i="1" s="1"/>
  <c r="C81" i="1"/>
  <c r="D81" i="1" s="1"/>
  <c r="C49" i="1"/>
  <c r="D49" i="1" s="1"/>
  <c r="C17" i="1"/>
  <c r="D17" i="1" s="1"/>
  <c r="C130" i="1"/>
  <c r="D130" i="1" s="1"/>
  <c r="C25" i="1"/>
  <c r="D25" i="1" s="1"/>
  <c r="C193" i="1"/>
  <c r="D193" i="1" s="1"/>
  <c r="C129" i="1"/>
  <c r="D129" i="1" s="1"/>
  <c r="C82" i="1"/>
  <c r="D82" i="1" s="1"/>
  <c r="C186" i="1"/>
  <c r="D186" i="1" s="1"/>
  <c r="C145" i="1"/>
  <c r="D145" i="1" s="1"/>
  <c r="C102" i="1"/>
  <c r="D102" i="1" s="1"/>
  <c r="C7" i="1"/>
  <c r="D7" i="1" s="1"/>
  <c r="C15" i="1"/>
  <c r="D15" i="1" s="1"/>
  <c r="C23" i="1"/>
  <c r="D23" i="1" s="1"/>
  <c r="C31" i="1"/>
  <c r="D31" i="1" s="1"/>
  <c r="C39" i="1"/>
  <c r="D39" i="1" s="1"/>
  <c r="C47" i="1"/>
  <c r="D47" i="1" s="1"/>
  <c r="C55" i="1"/>
  <c r="D55" i="1" s="1"/>
  <c r="C63" i="1"/>
  <c r="D63" i="1" s="1"/>
  <c r="C71" i="1"/>
  <c r="D71" i="1" s="1"/>
  <c r="C79" i="1"/>
  <c r="D79" i="1" s="1"/>
  <c r="C87" i="1"/>
  <c r="D87" i="1" s="1"/>
  <c r="C95" i="1"/>
  <c r="D95" i="1" s="1"/>
  <c r="C103" i="1"/>
  <c r="D103" i="1" s="1"/>
  <c r="C111" i="1"/>
  <c r="D111" i="1" s="1"/>
  <c r="C119" i="1"/>
  <c r="D119" i="1" s="1"/>
  <c r="C127" i="1"/>
  <c r="D127" i="1" s="1"/>
  <c r="C135" i="1"/>
  <c r="D135" i="1" s="1"/>
  <c r="C143" i="1"/>
  <c r="D143" i="1" s="1"/>
  <c r="C151" i="1"/>
  <c r="D151" i="1" s="1"/>
  <c r="C159" i="1"/>
  <c r="D159" i="1" s="1"/>
  <c r="C167" i="1"/>
  <c r="D167" i="1" s="1"/>
  <c r="C175" i="1"/>
  <c r="D175" i="1" s="1"/>
  <c r="C183" i="1"/>
  <c r="D183" i="1" s="1"/>
  <c r="C191" i="1"/>
  <c r="D191" i="1" s="1"/>
  <c r="C199" i="1"/>
  <c r="D199" i="1" s="1"/>
  <c r="C8" i="1"/>
  <c r="D8" i="1" s="1"/>
  <c r="C16" i="1"/>
  <c r="D16" i="1" s="1"/>
  <c r="C24" i="1"/>
  <c r="D24" i="1" s="1"/>
  <c r="C32" i="1"/>
  <c r="D32" i="1" s="1"/>
  <c r="C40" i="1"/>
  <c r="D40" i="1" s="1"/>
  <c r="C48" i="1"/>
  <c r="D48" i="1" s="1"/>
  <c r="C56" i="1"/>
  <c r="D56" i="1" s="1"/>
  <c r="C64" i="1"/>
  <c r="D64" i="1" s="1"/>
  <c r="C72" i="1"/>
  <c r="D72" i="1" s="1"/>
  <c r="C80" i="1"/>
  <c r="D80" i="1" s="1"/>
  <c r="C88" i="1"/>
  <c r="D88" i="1" s="1"/>
  <c r="C96" i="1"/>
  <c r="D96" i="1" s="1"/>
  <c r="C104" i="1"/>
  <c r="D104" i="1" s="1"/>
  <c r="C112" i="1"/>
  <c r="D112" i="1" s="1"/>
  <c r="C120" i="1"/>
  <c r="D120" i="1" s="1"/>
  <c r="C128" i="1"/>
  <c r="D128" i="1" s="1"/>
  <c r="C136" i="1"/>
  <c r="D136" i="1" s="1"/>
  <c r="C144" i="1"/>
  <c r="D144" i="1" s="1"/>
  <c r="C152" i="1"/>
  <c r="D152" i="1" s="1"/>
  <c r="C160" i="1"/>
  <c r="D160" i="1" s="1"/>
  <c r="C168" i="1"/>
  <c r="D168" i="1" s="1"/>
  <c r="C176" i="1"/>
  <c r="D176" i="1" s="1"/>
  <c r="C184" i="1"/>
  <c r="D184" i="1" s="1"/>
  <c r="C192" i="1"/>
  <c r="D192" i="1" s="1"/>
  <c r="C200" i="1"/>
  <c r="D200" i="1" s="1"/>
  <c r="C3" i="1"/>
  <c r="D3" i="1" s="1"/>
  <c r="C11" i="1"/>
  <c r="D11" i="1" s="1"/>
  <c r="C19" i="1"/>
  <c r="D19" i="1" s="1"/>
  <c r="C27" i="1"/>
  <c r="D27" i="1" s="1"/>
  <c r="C35" i="1"/>
  <c r="D35" i="1" s="1"/>
  <c r="C43" i="1"/>
  <c r="D43" i="1" s="1"/>
  <c r="C51" i="1"/>
  <c r="D51" i="1" s="1"/>
  <c r="C59" i="1"/>
  <c r="D59" i="1" s="1"/>
  <c r="C67" i="1"/>
  <c r="D67" i="1" s="1"/>
  <c r="C75" i="1"/>
  <c r="D75" i="1" s="1"/>
  <c r="C83" i="1"/>
  <c r="D83" i="1" s="1"/>
  <c r="C91" i="1"/>
  <c r="D91" i="1" s="1"/>
  <c r="C99" i="1"/>
  <c r="D99" i="1" s="1"/>
  <c r="C107" i="1"/>
  <c r="D107" i="1" s="1"/>
  <c r="C115" i="1"/>
  <c r="D115" i="1" s="1"/>
  <c r="C123" i="1"/>
  <c r="D123" i="1" s="1"/>
  <c r="C131" i="1"/>
  <c r="D131" i="1" s="1"/>
  <c r="C139" i="1"/>
  <c r="D139" i="1" s="1"/>
  <c r="C147" i="1"/>
  <c r="D147" i="1" s="1"/>
  <c r="C155" i="1"/>
  <c r="D155" i="1" s="1"/>
  <c r="C163" i="1"/>
  <c r="D163" i="1" s="1"/>
  <c r="C171" i="1"/>
  <c r="D171" i="1" s="1"/>
  <c r="C179" i="1"/>
  <c r="D179" i="1" s="1"/>
  <c r="C187" i="1"/>
  <c r="D187" i="1" s="1"/>
  <c r="C195" i="1"/>
  <c r="D195" i="1" s="1"/>
  <c r="C6" i="1"/>
  <c r="D6" i="1" s="1"/>
  <c r="C14" i="1"/>
  <c r="D14" i="1" s="1"/>
  <c r="C22" i="1"/>
  <c r="D22" i="1" s="1"/>
  <c r="C30" i="1"/>
  <c r="D30" i="1" s="1"/>
  <c r="C38" i="1"/>
  <c r="D38" i="1" s="1"/>
  <c r="C46" i="1"/>
  <c r="D46" i="1" s="1"/>
  <c r="C54" i="1"/>
  <c r="D54" i="1" s="1"/>
  <c r="C62" i="1"/>
  <c r="D62" i="1" s="1"/>
  <c r="C70" i="1"/>
  <c r="D70" i="1" s="1"/>
  <c r="C78" i="1"/>
  <c r="D78" i="1" s="1"/>
  <c r="C86" i="1"/>
  <c r="D86" i="1" s="1"/>
  <c r="C4" i="1"/>
  <c r="D4" i="1" s="1"/>
  <c r="C12" i="1"/>
  <c r="D12" i="1" s="1"/>
  <c r="C20" i="1"/>
  <c r="D20" i="1" s="1"/>
  <c r="C28" i="1"/>
  <c r="D28" i="1" s="1"/>
  <c r="C36" i="1"/>
  <c r="D36" i="1" s="1"/>
  <c r="C44" i="1"/>
  <c r="D44" i="1" s="1"/>
  <c r="C52" i="1"/>
  <c r="D52" i="1" s="1"/>
  <c r="C60" i="1"/>
  <c r="D60" i="1" s="1"/>
  <c r="C68" i="1"/>
  <c r="D68" i="1" s="1"/>
  <c r="C76" i="1"/>
  <c r="D76" i="1" s="1"/>
  <c r="C84" i="1"/>
  <c r="D84" i="1" s="1"/>
  <c r="C92" i="1"/>
  <c r="D92" i="1" s="1"/>
  <c r="C100" i="1"/>
  <c r="D100" i="1" s="1"/>
  <c r="C108" i="1"/>
  <c r="D108" i="1" s="1"/>
  <c r="C116" i="1"/>
  <c r="D116" i="1" s="1"/>
  <c r="C124" i="1"/>
  <c r="D124" i="1" s="1"/>
  <c r="C132" i="1"/>
  <c r="D132" i="1" s="1"/>
  <c r="C140" i="1"/>
  <c r="D140" i="1" s="1"/>
  <c r="C148" i="1"/>
  <c r="D148" i="1" s="1"/>
  <c r="C156" i="1"/>
  <c r="D156" i="1" s="1"/>
  <c r="C164" i="1"/>
  <c r="D164" i="1" s="1"/>
  <c r="C172" i="1"/>
  <c r="D172" i="1" s="1"/>
  <c r="C180" i="1"/>
  <c r="D180" i="1" s="1"/>
  <c r="C188" i="1"/>
  <c r="D188" i="1" s="1"/>
  <c r="C196" i="1"/>
  <c r="D196" i="1" s="1"/>
  <c r="C5" i="1"/>
  <c r="D5" i="1" s="1"/>
  <c r="C13" i="1"/>
  <c r="D13" i="1" s="1"/>
  <c r="C21" i="1"/>
  <c r="D21" i="1" s="1"/>
  <c r="C29" i="1"/>
  <c r="D29" i="1" s="1"/>
  <c r="C37" i="1"/>
  <c r="D37" i="1" s="1"/>
  <c r="C45" i="1"/>
  <c r="D45" i="1" s="1"/>
  <c r="C53" i="1"/>
  <c r="D53" i="1" s="1"/>
  <c r="C61" i="1"/>
  <c r="D61" i="1" s="1"/>
  <c r="C69" i="1"/>
  <c r="D69" i="1" s="1"/>
  <c r="C77" i="1"/>
  <c r="D77" i="1" s="1"/>
  <c r="C85" i="1"/>
  <c r="D85" i="1" s="1"/>
  <c r="C93" i="1"/>
  <c r="D93" i="1" s="1"/>
  <c r="C101" i="1"/>
  <c r="D101" i="1" s="1"/>
  <c r="C109" i="1"/>
  <c r="D109" i="1" s="1"/>
  <c r="C117" i="1"/>
  <c r="D117" i="1" s="1"/>
  <c r="C125" i="1"/>
  <c r="D125" i="1" s="1"/>
  <c r="C133" i="1"/>
  <c r="D133" i="1" s="1"/>
  <c r="C141" i="1"/>
  <c r="D141" i="1" s="1"/>
  <c r="C149" i="1"/>
  <c r="D149" i="1" s="1"/>
  <c r="C157" i="1"/>
  <c r="D157" i="1" s="1"/>
  <c r="C165" i="1"/>
  <c r="D165" i="1" s="1"/>
  <c r="C173" i="1"/>
  <c r="D173" i="1" s="1"/>
  <c r="C181" i="1"/>
  <c r="D181" i="1" s="1"/>
  <c r="C189" i="1"/>
  <c r="D189" i="1" s="1"/>
  <c r="C197" i="1"/>
  <c r="D197" i="1" s="1"/>
  <c r="C150" i="1"/>
  <c r="D150" i="1" s="1"/>
  <c r="C18" i="1"/>
  <c r="D18" i="1" s="1"/>
  <c r="C166" i="1"/>
  <c r="D166" i="1" s="1"/>
  <c r="C122" i="1"/>
  <c r="D122" i="1" s="1"/>
  <c r="C74" i="1"/>
  <c r="D74" i="1" s="1"/>
  <c r="C10" i="1"/>
  <c r="D10" i="1" s="1"/>
  <c r="C185" i="1"/>
  <c r="D185" i="1" s="1"/>
  <c r="C162" i="1"/>
  <c r="D162" i="1" s="1"/>
  <c r="C142" i="1"/>
  <c r="D142" i="1" s="1"/>
  <c r="C121" i="1"/>
  <c r="D121" i="1" s="1"/>
  <c r="C98" i="1"/>
  <c r="D98" i="1" s="1"/>
  <c r="C73" i="1"/>
  <c r="D73" i="1" s="1"/>
  <c r="C41" i="1"/>
  <c r="D41" i="1" s="1"/>
  <c r="C9" i="1"/>
  <c r="D9" i="1" s="1"/>
  <c r="C174" i="1"/>
  <c r="D174" i="1" s="1"/>
  <c r="C57" i="1"/>
  <c r="D57" i="1" s="1"/>
  <c r="C182" i="1"/>
  <c r="D182" i="1" s="1"/>
  <c r="C138" i="1"/>
  <c r="D138" i="1" s="1"/>
  <c r="C97" i="1"/>
  <c r="D97" i="1" s="1"/>
  <c r="C66" i="1"/>
  <c r="D66" i="1" s="1"/>
  <c r="C34" i="1"/>
  <c r="D34" i="1" s="1"/>
  <c r="C194" i="1"/>
  <c r="D194" i="1" s="1"/>
  <c r="C110" i="1"/>
  <c r="D110" i="1" s="1"/>
  <c r="C2" i="1"/>
  <c r="D2" i="1" s="1"/>
  <c r="C178" i="1"/>
  <c r="D178" i="1" s="1"/>
  <c r="C158" i="1"/>
  <c r="D158" i="1" s="1"/>
  <c r="C137" i="1"/>
  <c r="D137" i="1" s="1"/>
  <c r="C114" i="1"/>
  <c r="D114" i="1" s="1"/>
  <c r="C94" i="1"/>
  <c r="D94" i="1" s="1"/>
  <c r="C65" i="1"/>
  <c r="D65" i="1" s="1"/>
  <c r="C33" i="1"/>
  <c r="D33" i="1" s="1"/>
  <c r="C161" i="1"/>
  <c r="D161" i="1" s="1"/>
  <c r="C118" i="1"/>
  <c r="D118" i="1" s="1"/>
  <c r="C198" i="1"/>
  <c r="D198" i="1" s="1"/>
  <c r="C177" i="1"/>
  <c r="D177" i="1" s="1"/>
  <c r="C154" i="1"/>
  <c r="D154" i="1" s="1"/>
  <c r="C134" i="1"/>
  <c r="D134" i="1" s="1"/>
  <c r="C113" i="1"/>
  <c r="D113" i="1" s="1"/>
  <c r="C90" i="1"/>
  <c r="D90" i="1" s="1"/>
  <c r="C58" i="1"/>
  <c r="D58" i="1" s="1"/>
  <c r="C26" i="1"/>
  <c r="D26" i="1" s="1"/>
  <c r="H11" i="5"/>
  <c r="H13" i="5" s="1"/>
  <c r="E11" i="5"/>
  <c r="E12" i="5" s="1"/>
  <c r="H12" i="5" l="1"/>
  <c r="E13" i="5"/>
</calcChain>
</file>

<file path=xl/sharedStrings.xml><?xml version="1.0" encoding="utf-8"?>
<sst xmlns="http://schemas.openxmlformats.org/spreadsheetml/2006/main" count="61" uniqueCount="38">
  <si>
    <t>TV ads (hundreds of pounds), X</t>
  </si>
  <si>
    <t>Sales (thousands), Y</t>
  </si>
  <si>
    <t>Predicted Y values</t>
  </si>
  <si>
    <t>Residuals</t>
  </si>
  <si>
    <t>SD X=</t>
  </si>
  <si>
    <t>SD Y=</t>
  </si>
  <si>
    <t>cov(x,y)</t>
  </si>
  <si>
    <t>r=</t>
  </si>
  <si>
    <t>r^2=</t>
  </si>
  <si>
    <t>a=</t>
  </si>
  <si>
    <t>b=</t>
  </si>
  <si>
    <t>mean x/TV ads</t>
  </si>
  <si>
    <t>mean y/Sales</t>
  </si>
  <si>
    <t>Task 1 Scatterplot</t>
  </si>
  <si>
    <t>r =</t>
  </si>
  <si>
    <t>r^2 =</t>
  </si>
  <si>
    <t>a =</t>
  </si>
  <si>
    <t>b =</t>
  </si>
  <si>
    <t>x̄ =</t>
  </si>
  <si>
    <t>t (95%) =</t>
  </si>
  <si>
    <t>s =</t>
  </si>
  <si>
    <t>t (99%) =</t>
  </si>
  <si>
    <t xml:space="preserve">n = </t>
  </si>
  <si>
    <t>c =</t>
  </si>
  <si>
    <t>df =</t>
  </si>
  <si>
    <t>ME (95%) =</t>
  </si>
  <si>
    <t>ME(99%) =</t>
  </si>
  <si>
    <t>CI Upper (95%) =</t>
  </si>
  <si>
    <t>CI Upper (99%) =</t>
  </si>
  <si>
    <t>CI Lower (95%)=</t>
  </si>
  <si>
    <t>CI Lower (99%) =</t>
  </si>
  <si>
    <t>CI (95%) =</t>
  </si>
  <si>
    <t>[134.998 ; 159.087]</t>
  </si>
  <si>
    <t>CI (99%) =</t>
  </si>
  <si>
    <t>[131.10055 ; 162.98445]</t>
  </si>
  <si>
    <t>S =</t>
  </si>
  <si>
    <t xml:space="preserve">DF = </t>
  </si>
  <si>
    <t>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</si>
</sst>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vertical="top"/>
    </xf>
    <xf numFmtId="0" fontId="0" fillId="34" borderId="10" xfId="0" applyFill="1" applyBorder="1"/>
    <xf numFmtId="9" fontId="0" fillId="34" borderId="10" xfId="0" applyNumberFormat="1" applyFill="1" applyBorder="1"/>
    <xf numFmtId="0" fontId="19" fillId="0" borderId="0" xfId="0" applyFont="1"/>
    <xf numFmtId="9" fontId="0" fillId="0" borderId="0" xfId="0" applyNumberForma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20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Data!$D$2:$D$201</c:f>
              <c:numCache>
                <c:formatCode>General</c:formatCode>
                <c:ptCount val="200"/>
                <c:pt idx="0">
                  <c:v>4.1292254872344643</c:v>
                </c:pt>
                <c:pt idx="1">
                  <c:v>1.2520259516029189</c:v>
                </c:pt>
                <c:pt idx="2">
                  <c:v>1.4497762354243564</c:v>
                </c:pt>
                <c:pt idx="3">
                  <c:v>4.2656054252698112</c:v>
                </c:pt>
                <c:pt idx="4">
                  <c:v>-2.7272181394176656</c:v>
                </c:pt>
                <c:pt idx="5">
                  <c:v>-0.24616232089497636</c:v>
                </c:pt>
                <c:pt idx="6">
                  <c:v>2.0340496259736636</c:v>
                </c:pt>
                <c:pt idx="7">
                  <c:v>0.4535022708233285</c:v>
                </c:pt>
                <c:pt idx="8">
                  <c:v>-2.6414086568516746</c:v>
                </c:pt>
                <c:pt idx="9">
                  <c:v>-5.9304143076450391</c:v>
                </c:pt>
                <c:pt idx="10">
                  <c:v>-1.5747654817503065</c:v>
                </c:pt>
                <c:pt idx="11">
                  <c:v>0.16128974990296641</c:v>
                </c:pt>
                <c:pt idx="12">
                  <c:v>1.0360344085664259</c:v>
                </c:pt>
                <c:pt idx="13">
                  <c:v>-1.9674159913471261</c:v>
                </c:pt>
                <c:pt idx="14">
                  <c:v>2.2651781384929777</c:v>
                </c:pt>
                <c:pt idx="15">
                  <c:v>6.0787469102602465</c:v>
                </c:pt>
                <c:pt idx="16">
                  <c:v>2.2444222295135603</c:v>
                </c:pt>
                <c:pt idx="17">
                  <c:v>3.9905958330205564</c:v>
                </c:pt>
                <c:pt idx="18">
                  <c:v>0.97787093290733296</c:v>
                </c:pt>
                <c:pt idx="19">
                  <c:v>0.56525931508849503</c:v>
                </c:pt>
                <c:pt idx="20">
                  <c:v>0.58540418030079522</c:v>
                </c:pt>
                <c:pt idx="21">
                  <c:v>-5.8177919879265794</c:v>
                </c:pt>
                <c:pt idx="22">
                  <c:v>-2.0600772028435657</c:v>
                </c:pt>
                <c:pt idx="23">
                  <c:v>-2.3852085599861006</c:v>
                </c:pt>
                <c:pt idx="24">
                  <c:v>-0.29412624810483301</c:v>
                </c:pt>
                <c:pt idx="25">
                  <c:v>-7.5299763189685791</c:v>
                </c:pt>
                <c:pt idx="26">
                  <c:v>1.174420532993782</c:v>
                </c:pt>
                <c:pt idx="27">
                  <c:v>-2.5461409170957321</c:v>
                </c:pt>
                <c:pt idx="28">
                  <c:v>4.0290311136992329E-2</c:v>
                </c:pt>
                <c:pt idx="29">
                  <c:v>0.1113196363011042</c:v>
                </c:pt>
                <c:pt idx="30">
                  <c:v>0.44392446804082653</c:v>
                </c:pt>
                <c:pt idx="31">
                  <c:v>-0.49948025401562823</c:v>
                </c:pt>
                <c:pt idx="32">
                  <c:v>-2.0531549992172184</c:v>
                </c:pt>
                <c:pt idx="33">
                  <c:v>-2.2583252481377372</c:v>
                </c:pt>
                <c:pt idx="34">
                  <c:v>-2.0818500385676906</c:v>
                </c:pt>
                <c:pt idx="35">
                  <c:v>-8.0514949230065262</c:v>
                </c:pt>
                <c:pt idx="36">
                  <c:v>5.6798771192993414</c:v>
                </c:pt>
                <c:pt idx="37">
                  <c:v>4.1164194105257224</c:v>
                </c:pt>
                <c:pt idx="38">
                  <c:v>1.0185772482091462</c:v>
                </c:pt>
                <c:pt idx="39">
                  <c:v>3.6290524321438085</c:v>
                </c:pt>
                <c:pt idx="40">
                  <c:v>-5.8763236814190378E-2</c:v>
                </c:pt>
                <c:pt idx="41">
                  <c:v>1.6534210942278111</c:v>
                </c:pt>
                <c:pt idx="42">
                  <c:v>-0.28935118026228679</c:v>
                </c:pt>
                <c:pt idx="43">
                  <c:v>-3.9679244547194781</c:v>
                </c:pt>
                <c:pt idx="44">
                  <c:v>0.27423677600349983</c:v>
                </c:pt>
                <c:pt idx="45">
                  <c:v>-0.45625928894945211</c:v>
                </c:pt>
                <c:pt idx="46">
                  <c:v>-0.69663019596957199</c:v>
                </c:pt>
                <c:pt idx="47">
                  <c:v>4.7633664109908729</c:v>
                </c:pt>
                <c:pt idx="48">
                  <c:v>-3.0329182555097773</c:v>
                </c:pt>
                <c:pt idx="49">
                  <c:v>-0.5127947940967239</c:v>
                </c:pt>
                <c:pt idx="50">
                  <c:v>-5.1304143076450384</c:v>
                </c:pt>
                <c:pt idx="51">
                  <c:v>-1.1052722486028834</c:v>
                </c:pt>
                <c:pt idx="52">
                  <c:v>5.2804774611668357</c:v>
                </c:pt>
                <c:pt idx="53">
                  <c:v>5.4872159078028986</c:v>
                </c:pt>
                <c:pt idx="54">
                  <c:v>0.67953100911802267</c:v>
                </c:pt>
                <c:pt idx="55">
                  <c:v>7.2123686687446771</c:v>
                </c:pt>
                <c:pt idx="56">
                  <c:v>-1.8796110242887494</c:v>
                </c:pt>
                <c:pt idx="57">
                  <c:v>-0.3070839761049875</c:v>
                </c:pt>
                <c:pt idx="58">
                  <c:v>6.7466826475917436</c:v>
                </c:pt>
                <c:pt idx="59">
                  <c:v>1.3514363116350481</c:v>
                </c:pt>
                <c:pt idx="60">
                  <c:v>-1.4758038122942594</c:v>
                </c:pt>
                <c:pt idx="61">
                  <c:v>4.7460823057242472</c:v>
                </c:pt>
                <c:pt idx="62">
                  <c:v>-2.7081116047493161</c:v>
                </c:pt>
                <c:pt idx="63">
                  <c:v>2.0853934784011727</c:v>
                </c:pt>
                <c:pt idx="64">
                  <c:v>4.7353528901034139</c:v>
                </c:pt>
                <c:pt idx="65">
                  <c:v>-1.0126217390060628</c:v>
                </c:pt>
                <c:pt idx="66">
                  <c:v>0.97000227723217414</c:v>
                </c:pt>
                <c:pt idx="67">
                  <c:v>-0.25444756144734804</c:v>
                </c:pt>
                <c:pt idx="68">
                  <c:v>0.58220801207341921</c:v>
                </c:pt>
                <c:pt idx="69">
                  <c:v>4.9614628049936265</c:v>
                </c:pt>
                <c:pt idx="70">
                  <c:v>1.802861340658076</c:v>
                </c:pt>
                <c:pt idx="71">
                  <c:v>0.14788333132673337</c:v>
                </c:pt>
                <c:pt idx="72">
                  <c:v>0.49342448726736698</c:v>
                </c:pt>
                <c:pt idx="73">
                  <c:v>-2.1838348211604526</c:v>
                </c:pt>
                <c:pt idx="74">
                  <c:v>-0.17691261753410714</c:v>
                </c:pt>
                <c:pt idx="75">
                  <c:v>0.86403722755426138</c:v>
                </c:pt>
                <c:pt idx="76">
                  <c:v>-1.4398511610357456</c:v>
                </c:pt>
                <c:pt idx="77">
                  <c:v>1.4392412786934212</c:v>
                </c:pt>
                <c:pt idx="78">
                  <c:v>-1.9892914074660117</c:v>
                </c:pt>
                <c:pt idx="79">
                  <c:v>-1.5468438393579902</c:v>
                </c:pt>
                <c:pt idx="80">
                  <c:v>1.1356071217895902</c:v>
                </c:pt>
                <c:pt idx="81">
                  <c:v>-6.1318799249658262</c:v>
                </c:pt>
                <c:pt idx="82">
                  <c:v>0.68789742626591277</c:v>
                </c:pt>
                <c:pt idx="83">
                  <c:v>3.3159002452537472</c:v>
                </c:pt>
                <c:pt idx="84">
                  <c:v>4.5183337184225927</c:v>
                </c:pt>
                <c:pt idx="85">
                  <c:v>-1.0166724807871113</c:v>
                </c:pt>
                <c:pt idx="86">
                  <c:v>1.3403607858328925</c:v>
                </c:pt>
                <c:pt idx="87">
                  <c:v>3.7051003549370147</c:v>
                </c:pt>
                <c:pt idx="88">
                  <c:v>1.6699211006366568</c:v>
                </c:pt>
                <c:pt idx="89">
                  <c:v>4.4478833313267323</c:v>
                </c:pt>
                <c:pt idx="90">
                  <c:v>-2.2167643592822515</c:v>
                </c:pt>
                <c:pt idx="91">
                  <c:v>-1.0921414655120687</c:v>
                </c:pt>
                <c:pt idx="92">
                  <c:v>2.0186798286039078</c:v>
                </c:pt>
                <c:pt idx="93">
                  <c:v>3.2404633662276545</c:v>
                </c:pt>
                <c:pt idx="94">
                  <c:v>-0.63802873163401941</c:v>
                </c:pt>
                <c:pt idx="95">
                  <c:v>2.104673068160178</c:v>
                </c:pt>
                <c:pt idx="96">
                  <c:v>-4.7258336986923943</c:v>
                </c:pt>
                <c:pt idx="97">
                  <c:v>-0.32211836519304526</c:v>
                </c:pt>
                <c:pt idx="98">
                  <c:v>4.5960417174264876</c:v>
                </c:pt>
                <c:pt idx="99">
                  <c:v>3.740452664328032</c:v>
                </c:pt>
                <c:pt idx="100">
                  <c:v>-5.9047423814312872</c:v>
                </c:pt>
                <c:pt idx="101">
                  <c:v>2.6775462265252621</c:v>
                </c:pt>
                <c:pt idx="102">
                  <c:v>-5.5523601984598194</c:v>
                </c:pt>
                <c:pt idx="103">
                  <c:v>-1.2647282864921063</c:v>
                </c:pt>
                <c:pt idx="104">
                  <c:v>2.3441786997270064</c:v>
                </c:pt>
                <c:pt idx="105">
                  <c:v>5.6121037351588789</c:v>
                </c:pt>
                <c:pt idx="106">
                  <c:v>-1.021009559953197</c:v>
                </c:pt>
                <c:pt idx="107">
                  <c:v>-2.6299058442726864</c:v>
                </c:pt>
                <c:pt idx="108">
                  <c:v>-2.3553235388002633</c:v>
                </c:pt>
                <c:pt idx="109">
                  <c:v>0.62654848427906629</c:v>
                </c:pt>
                <c:pt idx="110">
                  <c:v>-4.3663669589035532</c:v>
                </c:pt>
                <c:pt idx="111">
                  <c:v>3.2778004582114377</c:v>
                </c:pt>
                <c:pt idx="112">
                  <c:v>-1.2847812732092638</c:v>
                </c:pt>
                <c:pt idx="113">
                  <c:v>-1.0962733838886312</c:v>
                </c:pt>
                <c:pt idx="114">
                  <c:v>3.8500411690101544</c:v>
                </c:pt>
                <c:pt idx="115">
                  <c:v>1.997404754352516</c:v>
                </c:pt>
                <c:pt idx="116">
                  <c:v>-1.4496938974040461</c:v>
                </c:pt>
                <c:pt idx="117">
                  <c:v>-1.2643928782104101</c:v>
                </c:pt>
                <c:pt idx="118">
                  <c:v>2.8920507484417204</c:v>
                </c:pt>
                <c:pt idx="119">
                  <c:v>-1.354804373528288</c:v>
                </c:pt>
                <c:pt idx="120">
                  <c:v>1.7504791576866126</c:v>
                </c:pt>
                <c:pt idx="121">
                  <c:v>-0.92628238926847573</c:v>
                </c:pt>
                <c:pt idx="122">
                  <c:v>-6.0808010061241138</c:v>
                </c:pt>
                <c:pt idx="123">
                  <c:v>2.3156460135675694</c:v>
                </c:pt>
                <c:pt idx="124">
                  <c:v>1.7577474714942731</c:v>
                </c:pt>
                <c:pt idx="125">
                  <c:v>-0.57778859488702317</c:v>
                </c:pt>
                <c:pt idx="126">
                  <c:v>-0.8033793445052595</c:v>
                </c:pt>
                <c:pt idx="127">
                  <c:v>-2.0450321118558836</c:v>
                </c:pt>
                <c:pt idx="128">
                  <c:v>7.1950845634780585</c:v>
                </c:pt>
                <c:pt idx="129">
                  <c:v>-0.16577731893567993</c:v>
                </c:pt>
                <c:pt idx="130">
                  <c:v>-5.4658691974308198</c:v>
                </c:pt>
                <c:pt idx="131">
                  <c:v>-6.9393105919645244</c:v>
                </c:pt>
                <c:pt idx="132">
                  <c:v>-1.7319013287650709</c:v>
                </c:pt>
                <c:pt idx="133">
                  <c:v>2.1188528836945686</c:v>
                </c:pt>
                <c:pt idx="134">
                  <c:v>2.0133044188938687</c:v>
                </c:pt>
                <c:pt idx="135">
                  <c:v>2.2713867179574425</c:v>
                </c:pt>
                <c:pt idx="136">
                  <c:v>1.2504684557869901</c:v>
                </c:pt>
                <c:pt idx="137">
                  <c:v>0.75662796435480928</c:v>
                </c:pt>
                <c:pt idx="138">
                  <c:v>0.52333091225244743</c:v>
                </c:pt>
                <c:pt idx="139">
                  <c:v>4.877881634806954</c:v>
                </c:pt>
                <c:pt idx="140">
                  <c:v>0.37821704308865023</c:v>
                </c:pt>
                <c:pt idx="141">
                  <c:v>2.9595591989963808</c:v>
                </c:pt>
                <c:pt idx="142">
                  <c:v>2.5855772353914546</c:v>
                </c:pt>
                <c:pt idx="143">
                  <c:v>-1.604926138421563</c:v>
                </c:pt>
                <c:pt idx="144">
                  <c:v>-0.20561835878419821</c:v>
                </c:pt>
                <c:pt idx="145">
                  <c:v>-3.4019842018803672</c:v>
                </c:pt>
                <c:pt idx="146">
                  <c:v>-5.2461409170957332</c:v>
                </c:pt>
                <c:pt idx="147">
                  <c:v>6.8064954975619045</c:v>
                </c:pt>
                <c:pt idx="148">
                  <c:v>2.0610141144175476</c:v>
                </c:pt>
                <c:pt idx="149">
                  <c:v>0.94251862351631388</c:v>
                </c:pt>
                <c:pt idx="150">
                  <c:v>-4.2761285186763303</c:v>
                </c:pt>
                <c:pt idx="151">
                  <c:v>-1.1845270415230882</c:v>
                </c:pt>
                <c:pt idx="152">
                  <c:v>0.1741663013076078</c:v>
                </c:pt>
                <c:pt idx="153">
                  <c:v>3.8243799446960214</c:v>
                </c:pt>
                <c:pt idx="154">
                  <c:v>-0.35997462244880296</c:v>
                </c:pt>
                <c:pt idx="155">
                  <c:v>-4.0274937749030864</c:v>
                </c:pt>
                <c:pt idx="156">
                  <c:v>3.8037159142117467</c:v>
                </c:pt>
                <c:pt idx="157">
                  <c:v>-4.0535822859940556</c:v>
                </c:pt>
                <c:pt idx="158">
                  <c:v>-0.28877224219403619</c:v>
                </c:pt>
                <c:pt idx="159">
                  <c:v>-0.39316909415639678</c:v>
                </c:pt>
                <c:pt idx="160">
                  <c:v>-0.83266402382360027</c:v>
                </c:pt>
                <c:pt idx="161">
                  <c:v>2.193516365762509</c:v>
                </c:pt>
                <c:pt idx="162">
                  <c:v>-1.088496606708615</c:v>
                </c:pt>
                <c:pt idx="163">
                  <c:v>3.1951657400735769</c:v>
                </c:pt>
                <c:pt idx="164">
                  <c:v>-0.70388780787761185</c:v>
                </c:pt>
                <c:pt idx="165">
                  <c:v>-6.2799357306708199</c:v>
                </c:pt>
                <c:pt idx="166">
                  <c:v>0.11650058712124256</c:v>
                </c:pt>
                <c:pt idx="167">
                  <c:v>-4.6631707906761797</c:v>
                </c:pt>
                <c:pt idx="168">
                  <c:v>-0.17198589840014478</c:v>
                </c:pt>
                <c:pt idx="169">
                  <c:v>-5.5472604242352048</c:v>
                </c:pt>
                <c:pt idx="170">
                  <c:v>-1.0094255707786903</c:v>
                </c:pt>
                <c:pt idx="171">
                  <c:v>-0.35237090035944441</c:v>
                </c:pt>
                <c:pt idx="172">
                  <c:v>-0.36431170161489135</c:v>
                </c:pt>
                <c:pt idx="173">
                  <c:v>-3.337763798048222</c:v>
                </c:pt>
                <c:pt idx="174">
                  <c:v>-6.1047423814312864</c:v>
                </c:pt>
                <c:pt idx="175">
                  <c:v>6.8045107149691439</c:v>
                </c:pt>
                <c:pt idx="176">
                  <c:v>1.3593049673102051</c:v>
                </c:pt>
                <c:pt idx="177">
                  <c:v>-3.4233297508276568</c:v>
                </c:pt>
                <c:pt idx="178">
                  <c:v>-8.3859819569442529</c:v>
                </c:pt>
                <c:pt idx="179">
                  <c:v>-2.3046612048357655</c:v>
                </c:pt>
                <c:pt idx="180">
                  <c:v>-3.9768314409385894</c:v>
                </c:pt>
                <c:pt idx="181">
                  <c:v>-5.2193494837425085</c:v>
                </c:pt>
                <c:pt idx="182">
                  <c:v>-1.0041527414634128</c:v>
                </c:pt>
                <c:pt idx="183">
                  <c:v>5.4958686623358304</c:v>
                </c:pt>
                <c:pt idx="184">
                  <c:v>-1.4973928910280989</c:v>
                </c:pt>
                <c:pt idx="185">
                  <c:v>5.8223951621032626</c:v>
                </c:pt>
                <c:pt idx="186">
                  <c:v>-3.3639548895339502</c:v>
                </c:pt>
                <c:pt idx="187">
                  <c:v>1.1831544641222358</c:v>
                </c:pt>
                <c:pt idx="188">
                  <c:v>-4.728072712971338</c:v>
                </c:pt>
                <c:pt idx="189">
                  <c:v>-1.2215287252251734</c:v>
                </c:pt>
                <c:pt idx="190">
                  <c:v>1.8897091537680168</c:v>
                </c:pt>
                <c:pt idx="191">
                  <c:v>-0.72160990182069185</c:v>
                </c:pt>
                <c:pt idx="192">
                  <c:v>-1.9502237645756439</c:v>
                </c:pt>
                <c:pt idx="193">
                  <c:v>4.6382948266446107</c:v>
                </c:pt>
                <c:pt idx="194">
                  <c:v>3.1511713780492485</c:v>
                </c:pt>
                <c:pt idx="195">
                  <c:v>-1.2484932136690574</c:v>
                </c:pt>
                <c:pt idx="196">
                  <c:v>-1.8105450779181602</c:v>
                </c:pt>
                <c:pt idx="197">
                  <c:v>-2.6465789057721896</c:v>
                </c:pt>
                <c:pt idx="198">
                  <c:v>4.9860152240679128</c:v>
                </c:pt>
                <c:pt idx="199">
                  <c:v>-4.6658477936315759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8-4D7E-AA85-EDBC86FC4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038727"/>
        <c:axId val="1943573511"/>
      </c:scatterChart>
      <c:valAx>
        <c:axId val="1979038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 ads (hundreds of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573511"/>
        <c:crosses val="autoZero"/>
        <c:crossBetween val="midCat"/>
      </c:valAx>
      <c:valAx>
        <c:axId val="194357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of 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38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 (thousands), 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30060788798386"/>
                  <c:y val="-0.149599348861880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Data!$A$2:$A$201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Data!$B$2:$B$201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B4-43F0-ADDB-769E21D5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262831"/>
        <c:axId val="2098274351"/>
      </c:scatterChart>
      <c:valAx>
        <c:axId val="209826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 Advertising</a:t>
                </a:r>
                <a:r>
                  <a:rPr lang="en-GB" baseline="0"/>
                  <a:t> Expenditure</a:t>
                </a:r>
                <a:r>
                  <a:rPr lang="en-GB"/>
                  <a:t> (£ Hundreds)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74351"/>
        <c:crosses val="autoZero"/>
        <c:crossBetween val="midCat"/>
      </c:valAx>
      <c:valAx>
        <c:axId val="209827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(£ 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6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Data!$D$2:$D$201</c:f>
              <c:numCache>
                <c:formatCode>General</c:formatCode>
                <c:ptCount val="200"/>
                <c:pt idx="0">
                  <c:v>4.1292254872344643</c:v>
                </c:pt>
                <c:pt idx="1">
                  <c:v>1.2520259516029189</c:v>
                </c:pt>
                <c:pt idx="2">
                  <c:v>1.4497762354243564</c:v>
                </c:pt>
                <c:pt idx="3">
                  <c:v>4.2656054252698112</c:v>
                </c:pt>
                <c:pt idx="4">
                  <c:v>-2.7272181394176656</c:v>
                </c:pt>
                <c:pt idx="5">
                  <c:v>-0.24616232089497636</c:v>
                </c:pt>
                <c:pt idx="6">
                  <c:v>2.0340496259736636</c:v>
                </c:pt>
                <c:pt idx="7">
                  <c:v>0.4535022708233285</c:v>
                </c:pt>
                <c:pt idx="8">
                  <c:v>-2.6414086568516746</c:v>
                </c:pt>
                <c:pt idx="9">
                  <c:v>-5.9304143076450391</c:v>
                </c:pt>
                <c:pt idx="10">
                  <c:v>-1.5747654817503065</c:v>
                </c:pt>
                <c:pt idx="11">
                  <c:v>0.16128974990296641</c:v>
                </c:pt>
                <c:pt idx="12">
                  <c:v>1.0360344085664259</c:v>
                </c:pt>
                <c:pt idx="13">
                  <c:v>-1.9674159913471261</c:v>
                </c:pt>
                <c:pt idx="14">
                  <c:v>2.2651781384929777</c:v>
                </c:pt>
                <c:pt idx="15">
                  <c:v>6.0787469102602465</c:v>
                </c:pt>
                <c:pt idx="16">
                  <c:v>2.2444222295135603</c:v>
                </c:pt>
                <c:pt idx="17">
                  <c:v>3.9905958330205564</c:v>
                </c:pt>
                <c:pt idx="18">
                  <c:v>0.97787093290733296</c:v>
                </c:pt>
                <c:pt idx="19">
                  <c:v>0.56525931508849503</c:v>
                </c:pt>
                <c:pt idx="20">
                  <c:v>0.58540418030079522</c:v>
                </c:pt>
                <c:pt idx="21">
                  <c:v>-5.8177919879265794</c:v>
                </c:pt>
                <c:pt idx="22">
                  <c:v>-2.0600772028435657</c:v>
                </c:pt>
                <c:pt idx="23">
                  <c:v>-2.3852085599861006</c:v>
                </c:pt>
                <c:pt idx="24">
                  <c:v>-0.29412624810483301</c:v>
                </c:pt>
                <c:pt idx="25">
                  <c:v>-7.5299763189685791</c:v>
                </c:pt>
                <c:pt idx="26">
                  <c:v>1.174420532993782</c:v>
                </c:pt>
                <c:pt idx="27">
                  <c:v>-2.5461409170957321</c:v>
                </c:pt>
                <c:pt idx="28">
                  <c:v>4.0290311136992329E-2</c:v>
                </c:pt>
                <c:pt idx="29">
                  <c:v>0.1113196363011042</c:v>
                </c:pt>
                <c:pt idx="30">
                  <c:v>0.44392446804082653</c:v>
                </c:pt>
                <c:pt idx="31">
                  <c:v>-0.49948025401562823</c:v>
                </c:pt>
                <c:pt idx="32">
                  <c:v>-2.0531549992172184</c:v>
                </c:pt>
                <c:pt idx="33">
                  <c:v>-2.2583252481377372</c:v>
                </c:pt>
                <c:pt idx="34">
                  <c:v>-2.0818500385676906</c:v>
                </c:pt>
                <c:pt idx="35">
                  <c:v>-8.0514949230065262</c:v>
                </c:pt>
                <c:pt idx="36">
                  <c:v>5.6798771192993414</c:v>
                </c:pt>
                <c:pt idx="37">
                  <c:v>4.1164194105257224</c:v>
                </c:pt>
                <c:pt idx="38">
                  <c:v>1.0185772482091462</c:v>
                </c:pt>
                <c:pt idx="39">
                  <c:v>3.6290524321438085</c:v>
                </c:pt>
                <c:pt idx="40">
                  <c:v>-5.8763236814190378E-2</c:v>
                </c:pt>
                <c:pt idx="41">
                  <c:v>1.6534210942278111</c:v>
                </c:pt>
                <c:pt idx="42">
                  <c:v>-0.28935118026228679</c:v>
                </c:pt>
                <c:pt idx="43">
                  <c:v>-3.9679244547194781</c:v>
                </c:pt>
                <c:pt idx="44">
                  <c:v>0.27423677600349983</c:v>
                </c:pt>
                <c:pt idx="45">
                  <c:v>-0.45625928894945211</c:v>
                </c:pt>
                <c:pt idx="46">
                  <c:v>-0.69663019596957199</c:v>
                </c:pt>
                <c:pt idx="47">
                  <c:v>4.7633664109908729</c:v>
                </c:pt>
                <c:pt idx="48">
                  <c:v>-3.0329182555097773</c:v>
                </c:pt>
                <c:pt idx="49">
                  <c:v>-0.5127947940967239</c:v>
                </c:pt>
                <c:pt idx="50">
                  <c:v>-5.1304143076450384</c:v>
                </c:pt>
                <c:pt idx="51">
                  <c:v>-1.1052722486028834</c:v>
                </c:pt>
                <c:pt idx="52">
                  <c:v>5.2804774611668357</c:v>
                </c:pt>
                <c:pt idx="53">
                  <c:v>5.4872159078028986</c:v>
                </c:pt>
                <c:pt idx="54">
                  <c:v>0.67953100911802267</c:v>
                </c:pt>
                <c:pt idx="55">
                  <c:v>7.2123686687446771</c:v>
                </c:pt>
                <c:pt idx="56">
                  <c:v>-1.8796110242887494</c:v>
                </c:pt>
                <c:pt idx="57">
                  <c:v>-0.3070839761049875</c:v>
                </c:pt>
                <c:pt idx="58">
                  <c:v>6.7466826475917436</c:v>
                </c:pt>
                <c:pt idx="59">
                  <c:v>1.3514363116350481</c:v>
                </c:pt>
                <c:pt idx="60">
                  <c:v>-1.4758038122942594</c:v>
                </c:pt>
                <c:pt idx="61">
                  <c:v>4.7460823057242472</c:v>
                </c:pt>
                <c:pt idx="62">
                  <c:v>-2.7081116047493161</c:v>
                </c:pt>
                <c:pt idx="63">
                  <c:v>2.0853934784011727</c:v>
                </c:pt>
                <c:pt idx="64">
                  <c:v>4.7353528901034139</c:v>
                </c:pt>
                <c:pt idx="65">
                  <c:v>-1.0126217390060628</c:v>
                </c:pt>
                <c:pt idx="66">
                  <c:v>0.97000227723217414</c:v>
                </c:pt>
                <c:pt idx="67">
                  <c:v>-0.25444756144734804</c:v>
                </c:pt>
                <c:pt idx="68">
                  <c:v>0.58220801207341921</c:v>
                </c:pt>
                <c:pt idx="69">
                  <c:v>4.9614628049936265</c:v>
                </c:pt>
                <c:pt idx="70">
                  <c:v>1.802861340658076</c:v>
                </c:pt>
                <c:pt idx="71">
                  <c:v>0.14788333132673337</c:v>
                </c:pt>
                <c:pt idx="72">
                  <c:v>0.49342448726736698</c:v>
                </c:pt>
                <c:pt idx="73">
                  <c:v>-2.1838348211604526</c:v>
                </c:pt>
                <c:pt idx="74">
                  <c:v>-0.17691261753410714</c:v>
                </c:pt>
                <c:pt idx="75">
                  <c:v>0.86403722755426138</c:v>
                </c:pt>
                <c:pt idx="76">
                  <c:v>-1.4398511610357456</c:v>
                </c:pt>
                <c:pt idx="77">
                  <c:v>1.4392412786934212</c:v>
                </c:pt>
                <c:pt idx="78">
                  <c:v>-1.9892914074660117</c:v>
                </c:pt>
                <c:pt idx="79">
                  <c:v>-1.5468438393579902</c:v>
                </c:pt>
                <c:pt idx="80">
                  <c:v>1.1356071217895902</c:v>
                </c:pt>
                <c:pt idx="81">
                  <c:v>-6.1318799249658262</c:v>
                </c:pt>
                <c:pt idx="82">
                  <c:v>0.68789742626591277</c:v>
                </c:pt>
                <c:pt idx="83">
                  <c:v>3.3159002452537472</c:v>
                </c:pt>
                <c:pt idx="84">
                  <c:v>4.5183337184225927</c:v>
                </c:pt>
                <c:pt idx="85">
                  <c:v>-1.0166724807871113</c:v>
                </c:pt>
                <c:pt idx="86">
                  <c:v>1.3403607858328925</c:v>
                </c:pt>
                <c:pt idx="87">
                  <c:v>3.7051003549370147</c:v>
                </c:pt>
                <c:pt idx="88">
                  <c:v>1.6699211006366568</c:v>
                </c:pt>
                <c:pt idx="89">
                  <c:v>4.4478833313267323</c:v>
                </c:pt>
                <c:pt idx="90">
                  <c:v>-2.2167643592822515</c:v>
                </c:pt>
                <c:pt idx="91">
                  <c:v>-1.0921414655120687</c:v>
                </c:pt>
                <c:pt idx="92">
                  <c:v>2.0186798286039078</c:v>
                </c:pt>
                <c:pt idx="93">
                  <c:v>3.2404633662276545</c:v>
                </c:pt>
                <c:pt idx="94">
                  <c:v>-0.63802873163401941</c:v>
                </c:pt>
                <c:pt idx="95">
                  <c:v>2.104673068160178</c:v>
                </c:pt>
                <c:pt idx="96">
                  <c:v>-4.7258336986923943</c:v>
                </c:pt>
                <c:pt idx="97">
                  <c:v>-0.32211836519304526</c:v>
                </c:pt>
                <c:pt idx="98">
                  <c:v>4.5960417174264876</c:v>
                </c:pt>
                <c:pt idx="99">
                  <c:v>3.740452664328032</c:v>
                </c:pt>
                <c:pt idx="100">
                  <c:v>-5.9047423814312872</c:v>
                </c:pt>
                <c:pt idx="101">
                  <c:v>2.6775462265252621</c:v>
                </c:pt>
                <c:pt idx="102">
                  <c:v>-5.5523601984598194</c:v>
                </c:pt>
                <c:pt idx="103">
                  <c:v>-1.2647282864921063</c:v>
                </c:pt>
                <c:pt idx="104">
                  <c:v>2.3441786997270064</c:v>
                </c:pt>
                <c:pt idx="105">
                  <c:v>5.6121037351588789</c:v>
                </c:pt>
                <c:pt idx="106">
                  <c:v>-1.021009559953197</c:v>
                </c:pt>
                <c:pt idx="107">
                  <c:v>-2.6299058442726864</c:v>
                </c:pt>
                <c:pt idx="108">
                  <c:v>-2.3553235388002633</c:v>
                </c:pt>
                <c:pt idx="109">
                  <c:v>0.62654848427906629</c:v>
                </c:pt>
                <c:pt idx="110">
                  <c:v>-4.3663669589035532</c:v>
                </c:pt>
                <c:pt idx="111">
                  <c:v>3.2778004582114377</c:v>
                </c:pt>
                <c:pt idx="112">
                  <c:v>-1.2847812732092638</c:v>
                </c:pt>
                <c:pt idx="113">
                  <c:v>-1.0962733838886312</c:v>
                </c:pt>
                <c:pt idx="114">
                  <c:v>3.8500411690101544</c:v>
                </c:pt>
                <c:pt idx="115">
                  <c:v>1.997404754352516</c:v>
                </c:pt>
                <c:pt idx="116">
                  <c:v>-1.4496938974040461</c:v>
                </c:pt>
                <c:pt idx="117">
                  <c:v>-1.2643928782104101</c:v>
                </c:pt>
                <c:pt idx="118">
                  <c:v>2.8920507484417204</c:v>
                </c:pt>
                <c:pt idx="119">
                  <c:v>-1.354804373528288</c:v>
                </c:pt>
                <c:pt idx="120">
                  <c:v>1.7504791576866126</c:v>
                </c:pt>
                <c:pt idx="121">
                  <c:v>-0.92628238926847573</c:v>
                </c:pt>
                <c:pt idx="122">
                  <c:v>-6.0808010061241138</c:v>
                </c:pt>
                <c:pt idx="123">
                  <c:v>2.3156460135675694</c:v>
                </c:pt>
                <c:pt idx="124">
                  <c:v>1.7577474714942731</c:v>
                </c:pt>
                <c:pt idx="125">
                  <c:v>-0.57778859488702317</c:v>
                </c:pt>
                <c:pt idx="126">
                  <c:v>-0.8033793445052595</c:v>
                </c:pt>
                <c:pt idx="127">
                  <c:v>-2.0450321118558836</c:v>
                </c:pt>
                <c:pt idx="128">
                  <c:v>7.1950845634780585</c:v>
                </c:pt>
                <c:pt idx="129">
                  <c:v>-0.16577731893567993</c:v>
                </c:pt>
                <c:pt idx="130">
                  <c:v>-5.4658691974308198</c:v>
                </c:pt>
                <c:pt idx="131">
                  <c:v>-6.9393105919645244</c:v>
                </c:pt>
                <c:pt idx="132">
                  <c:v>-1.7319013287650709</c:v>
                </c:pt>
                <c:pt idx="133">
                  <c:v>2.1188528836945686</c:v>
                </c:pt>
                <c:pt idx="134">
                  <c:v>2.0133044188938687</c:v>
                </c:pt>
                <c:pt idx="135">
                  <c:v>2.2713867179574425</c:v>
                </c:pt>
                <c:pt idx="136">
                  <c:v>1.2504684557869901</c:v>
                </c:pt>
                <c:pt idx="137">
                  <c:v>0.75662796435480928</c:v>
                </c:pt>
                <c:pt idx="138">
                  <c:v>0.52333091225244743</c:v>
                </c:pt>
                <c:pt idx="139">
                  <c:v>4.877881634806954</c:v>
                </c:pt>
                <c:pt idx="140">
                  <c:v>0.37821704308865023</c:v>
                </c:pt>
                <c:pt idx="141">
                  <c:v>2.9595591989963808</c:v>
                </c:pt>
                <c:pt idx="142">
                  <c:v>2.5855772353914546</c:v>
                </c:pt>
                <c:pt idx="143">
                  <c:v>-1.604926138421563</c:v>
                </c:pt>
                <c:pt idx="144">
                  <c:v>-0.20561835878419821</c:v>
                </c:pt>
                <c:pt idx="145">
                  <c:v>-3.4019842018803672</c:v>
                </c:pt>
                <c:pt idx="146">
                  <c:v>-5.2461409170957332</c:v>
                </c:pt>
                <c:pt idx="147">
                  <c:v>6.8064954975619045</c:v>
                </c:pt>
                <c:pt idx="148">
                  <c:v>2.0610141144175476</c:v>
                </c:pt>
                <c:pt idx="149">
                  <c:v>0.94251862351631388</c:v>
                </c:pt>
                <c:pt idx="150">
                  <c:v>-4.2761285186763303</c:v>
                </c:pt>
                <c:pt idx="151">
                  <c:v>-1.1845270415230882</c:v>
                </c:pt>
                <c:pt idx="152">
                  <c:v>0.1741663013076078</c:v>
                </c:pt>
                <c:pt idx="153">
                  <c:v>3.8243799446960214</c:v>
                </c:pt>
                <c:pt idx="154">
                  <c:v>-0.35997462244880296</c:v>
                </c:pt>
                <c:pt idx="155">
                  <c:v>-4.0274937749030864</c:v>
                </c:pt>
                <c:pt idx="156">
                  <c:v>3.8037159142117467</c:v>
                </c:pt>
                <c:pt idx="157">
                  <c:v>-4.0535822859940556</c:v>
                </c:pt>
                <c:pt idx="158">
                  <c:v>-0.28877224219403619</c:v>
                </c:pt>
                <c:pt idx="159">
                  <c:v>-0.39316909415639678</c:v>
                </c:pt>
                <c:pt idx="160">
                  <c:v>-0.83266402382360027</c:v>
                </c:pt>
                <c:pt idx="161">
                  <c:v>2.193516365762509</c:v>
                </c:pt>
                <c:pt idx="162">
                  <c:v>-1.088496606708615</c:v>
                </c:pt>
                <c:pt idx="163">
                  <c:v>3.1951657400735769</c:v>
                </c:pt>
                <c:pt idx="164">
                  <c:v>-0.70388780787761185</c:v>
                </c:pt>
                <c:pt idx="165">
                  <c:v>-6.2799357306708199</c:v>
                </c:pt>
                <c:pt idx="166">
                  <c:v>0.11650058712124256</c:v>
                </c:pt>
                <c:pt idx="167">
                  <c:v>-4.6631707906761797</c:v>
                </c:pt>
                <c:pt idx="168">
                  <c:v>-0.17198589840014478</c:v>
                </c:pt>
                <c:pt idx="169">
                  <c:v>-5.5472604242352048</c:v>
                </c:pt>
                <c:pt idx="170">
                  <c:v>-1.0094255707786903</c:v>
                </c:pt>
                <c:pt idx="171">
                  <c:v>-0.35237090035944441</c:v>
                </c:pt>
                <c:pt idx="172">
                  <c:v>-0.36431170161489135</c:v>
                </c:pt>
                <c:pt idx="173">
                  <c:v>-3.337763798048222</c:v>
                </c:pt>
                <c:pt idx="174">
                  <c:v>-6.1047423814312864</c:v>
                </c:pt>
                <c:pt idx="175">
                  <c:v>6.8045107149691439</c:v>
                </c:pt>
                <c:pt idx="176">
                  <c:v>1.3593049673102051</c:v>
                </c:pt>
                <c:pt idx="177">
                  <c:v>-3.4233297508276568</c:v>
                </c:pt>
                <c:pt idx="178">
                  <c:v>-8.3859819569442529</c:v>
                </c:pt>
                <c:pt idx="179">
                  <c:v>-2.3046612048357655</c:v>
                </c:pt>
                <c:pt idx="180">
                  <c:v>-3.9768314409385894</c:v>
                </c:pt>
                <c:pt idx="181">
                  <c:v>-5.2193494837425085</c:v>
                </c:pt>
                <c:pt idx="182">
                  <c:v>-1.0041527414634128</c:v>
                </c:pt>
                <c:pt idx="183">
                  <c:v>5.4958686623358304</c:v>
                </c:pt>
                <c:pt idx="184">
                  <c:v>-1.4973928910280989</c:v>
                </c:pt>
                <c:pt idx="185">
                  <c:v>5.8223951621032626</c:v>
                </c:pt>
                <c:pt idx="186">
                  <c:v>-3.3639548895339502</c:v>
                </c:pt>
                <c:pt idx="187">
                  <c:v>1.1831544641222358</c:v>
                </c:pt>
                <c:pt idx="188">
                  <c:v>-4.728072712971338</c:v>
                </c:pt>
                <c:pt idx="189">
                  <c:v>-1.2215287252251734</c:v>
                </c:pt>
                <c:pt idx="190">
                  <c:v>1.8897091537680168</c:v>
                </c:pt>
                <c:pt idx="191">
                  <c:v>-0.72160990182069185</c:v>
                </c:pt>
                <c:pt idx="192">
                  <c:v>-1.9502237645756439</c:v>
                </c:pt>
                <c:pt idx="193">
                  <c:v>4.6382948266446107</c:v>
                </c:pt>
                <c:pt idx="194">
                  <c:v>3.1511713780492485</c:v>
                </c:pt>
                <c:pt idx="195">
                  <c:v>-1.2484932136690574</c:v>
                </c:pt>
                <c:pt idx="196">
                  <c:v>-1.8105450779181602</c:v>
                </c:pt>
                <c:pt idx="197">
                  <c:v>-2.6465789057721896</c:v>
                </c:pt>
                <c:pt idx="198">
                  <c:v>4.9860152240679128</c:v>
                </c:pt>
                <c:pt idx="199">
                  <c:v>-4.6658477936315759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E-4DF3-9AB6-0637C1E5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038727"/>
        <c:axId val="1943573511"/>
      </c:scatterChart>
      <c:valAx>
        <c:axId val="1979038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 ads (hundreds of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573511"/>
        <c:crosses val="autoZero"/>
        <c:crossBetween val="midCat"/>
      </c:valAx>
      <c:valAx>
        <c:axId val="194357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of 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38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606880</xdr:colOff>
      <xdr:row>2</xdr:row>
      <xdr:rowOff>186418</xdr:rowOff>
    </xdr:from>
    <xdr:to>
      <xdr:col>9</xdr:col>
      <xdr:colOff>194583</xdr:colOff>
      <xdr:row>17</xdr:row>
      <xdr:rowOff>72118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AEA65-782E-558C-6E45-0D06F64D7D33}"/>
            </a:ext>
            <a:ext uri="{147F2762-F138-4A5C-976F-8EAC2B608ADB}">
              <a16:predDERef xmlns:a16="http://schemas.microsoft.com/office/drawing/2014/main" pred="{8AC735C1-9A5E-4BC8-11BB-D007D4F2F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426720</xdr:colOff>
      <xdr:row>1</xdr:row>
      <xdr:rowOff>15240</xdr:rowOff>
    </xdr:from>
    <xdr:ext cx="6766560" cy="17297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AE6034-5941-EA0A-8C51-550D0553F7AA}"/>
            </a:ext>
          </a:extLst>
        </xdr:cNvPr>
        <xdr:cNvSpPr txBox="1"/>
      </xdr:nvSpPr>
      <xdr:spPr>
        <a:xfrm>
          <a:off x="426720" y="198120"/>
          <a:ext cx="6766560" cy="172974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200" b="1" u="none" kern="1200"/>
            <a:t>Context</a:t>
          </a:r>
        </a:p>
        <a:p>
          <a:endParaRPr lang="en-GB" sz="1200" kern="1200"/>
        </a:p>
        <a:p>
          <a:r>
            <a:rPr lang="en-GB" sz="1200" kern="1200"/>
            <a:t>The dataset contains</a:t>
          </a:r>
          <a:r>
            <a:rPr lang="en-GB" sz="1200" kern="1200" baseline="0"/>
            <a:t> the following two variables recorded for 200 clients of the TV Guru advertising agency:</a:t>
          </a:r>
        </a:p>
        <a:p>
          <a:endParaRPr lang="en-GB" sz="1200" kern="1200"/>
        </a:p>
        <a:p>
          <a:r>
            <a:rPr lang="en-GB" sz="1200" kern="1200"/>
            <a:t>1. TV ads (hundreds of pounds): amount in GBP spent on TV ads by</a:t>
          </a:r>
          <a:r>
            <a:rPr lang="en-GB" sz="1200" kern="1200" baseline="0"/>
            <a:t> the client</a:t>
          </a:r>
          <a:r>
            <a:rPr lang="en-GB" sz="1200" kern="1200"/>
            <a:t>.</a:t>
          </a:r>
        </a:p>
        <a:p>
          <a:endParaRPr lang="en-GB" sz="1200" kern="1200"/>
        </a:p>
        <a:p>
          <a:r>
            <a:rPr lang="en-GB" sz="1200" kern="1200"/>
            <a:t>2. Sales (thousands): items</a:t>
          </a:r>
          <a:r>
            <a:rPr lang="en-GB" sz="1200" kern="1200" baseline="0"/>
            <a:t> of product sold, in thousands, following the TV ads campaign.</a:t>
          </a:r>
          <a:endParaRPr lang="en-GB" sz="1200" kern="12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426720</xdr:colOff>
      <xdr:row>0</xdr:row>
      <xdr:rowOff>175260</xdr:rowOff>
    </xdr:from>
    <xdr:ext cx="12230100" cy="41986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EEA9BF-CE82-4848-A368-291CABF22FEF}"/>
            </a:ext>
          </a:extLst>
        </xdr:cNvPr>
        <xdr:cNvSpPr txBox="1"/>
      </xdr:nvSpPr>
      <xdr:spPr>
        <a:xfrm>
          <a:off x="426720" y="175260"/>
          <a:ext cx="12230100" cy="41986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Project 6: Linear regression for marketing.</a:t>
          </a:r>
        </a:p>
        <a:p>
          <a:r>
            <a:rPr lang="en-GB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Dataset: TV marketing regression.</a:t>
          </a:r>
        </a:p>
        <a:p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 are a data analyst working at the TV marketing company called TV Guru. You are given the dataset containing the following two variables recorded for 200 TV Guru clients:</a:t>
          </a:r>
          <a:r>
            <a:rPr lang="en-GB" sz="1200"/>
            <a:t> </a:t>
          </a:r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TV ads (hundreds of pounds): amount in </a:t>
          </a:r>
          <a:r>
            <a:rPr lang="en-GB" sz="120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GBP</a:t>
          </a: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spent on TV ads by the client.</a:t>
          </a:r>
          <a:r>
            <a:rPr lang="en-GB" sz="1200"/>
            <a:t> </a:t>
          </a:r>
        </a:p>
        <a:p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Sales (thousands): items of product sold, in thousands, following the TV ads campaign.</a:t>
          </a:r>
          <a:r>
            <a:rPr lang="en-GB" sz="1200"/>
            <a:t> </a:t>
          </a:r>
        </a:p>
        <a:p>
          <a:endParaRPr lang="en-GB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Write a report for the senior management team addressing the question: Is there a linear relationship between the funds allocated to TV advertising and the number of sales of the company's product? </a:t>
          </a:r>
        </a:p>
        <a:p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Here are a few bullet points to include in your report.</a:t>
          </a:r>
          <a:r>
            <a:rPr lang="en-GB" sz="1200"/>
            <a:t> </a:t>
          </a:r>
        </a:p>
        <a:p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Create a scatter plot to explore the relationship between company's expenditure on TV advertising and their subsequent sales. </a:t>
          </a:r>
        </a:p>
        <a:p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Justify your choice of the explanatory and response variables.</a:t>
          </a:r>
          <a:r>
            <a:rPr lang="en-GB" sz="1200"/>
            <a:t> </a:t>
          </a:r>
        </a:p>
        <a:p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Calculate the correlation coefficient and the equation of the regression line. Explain how predictions are made using your model equation (use examples). </a:t>
          </a:r>
        </a:p>
        <a:p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Interpret the regression line coefficients, the correlation coefficient. Calculate and interpret the coefficient of determination.</a:t>
          </a:r>
          <a:r>
            <a:rPr lang="en-GB" sz="1200"/>
            <a:t> </a:t>
          </a:r>
        </a:p>
        <a:p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Use residual analysis to assess the validity of your model.</a:t>
          </a:r>
          <a:r>
            <a:rPr lang="en-GB" sz="1200"/>
            <a:t> </a:t>
          </a:r>
        </a:p>
        <a:p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Build and interpret the 95% and 99% confidence intervals for the TV ads data. Which interval is wider? Explain why.</a:t>
          </a:r>
          <a:r>
            <a:rPr lang="en-GB" sz="1200"/>
            <a:t> </a:t>
          </a:r>
        </a:p>
        <a:p>
          <a:br>
            <a:rPr lang="en-GB" sz="1200"/>
          </a:b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The TV Guru CEO claims that the average sum spent on TV advertising by the firm's clients is </a:t>
          </a:r>
          <a:r>
            <a:rPr lang="en-GB" sz="120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£14,000</a:t>
          </a:r>
          <a:r>
            <a:rPr lang="en-GB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Assess the validity of this claim. Justify using appropriate statistical methods.</a:t>
          </a:r>
          <a:endParaRPr lang="en-GB" sz="1200" kern="12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171450</xdr:rowOff>
    </xdr:from>
    <xdr:to>
      <xdr:col>14</xdr:col>
      <xdr:colOff>47625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0E21F-7FC4-4893-ACDD-BD2C7AEE4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190499</xdr:rowOff>
    </xdr:from>
    <xdr:to>
      <xdr:col>18</xdr:col>
      <xdr:colOff>314325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41EE09-3C17-420A-8B4C-CC8B8E475AA4}"/>
            </a:ext>
            <a:ext uri="{147F2762-F138-4A5C-976F-8EAC2B608ADB}">
              <a16:predDERef xmlns:a16="http://schemas.microsoft.com/office/drawing/2014/main" pred="{8AC735C1-9A5E-4BC8-11BB-D007D4F2F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12</xdr:row>
      <xdr:rowOff>14287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A0E61C-2BBA-44A0-8883-A5002D176D6B}"/>
            </a:ext>
          </a:extLst>
        </xdr:cNvPr>
        <xdr:cNvSpPr txBox="1"/>
      </xdr:nvSpPr>
      <xdr:spPr>
        <a:xfrm>
          <a:off x="8458200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 kern="1200"/>
        </a:p>
      </xdr:txBody>
    </xdr:sp>
    <xdr:clientData/>
  </xdr:oneCellAnchor>
  <xdr:oneCellAnchor>
    <xdr:from>
      <xdr:col>4</xdr:col>
      <xdr:colOff>28574</xdr:colOff>
      <xdr:row>8</xdr:row>
      <xdr:rowOff>9525</xdr:rowOff>
    </xdr:from>
    <xdr:ext cx="352426" cy="1896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CE06C4E-EA9A-26DA-CFF2-6BE89800A172}"/>
                </a:ext>
              </a:extLst>
            </xdr:cNvPr>
            <xdr:cNvSpPr txBox="1"/>
          </xdr:nvSpPr>
          <xdr:spPr>
            <a:xfrm>
              <a:off x="4086224" y="2295525"/>
              <a:ext cx="352426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GB" sz="1200" i="1" kern="1200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GB" sz="1200" b="0" i="1" kern="1200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</m:oMath>
              </a14:m>
              <a:r>
                <a:rPr lang="en-GB" sz="1200" kern="1200"/>
                <a:t> =</a:t>
              </a: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CE06C4E-EA9A-26DA-CFF2-6BE89800A172}"/>
                </a:ext>
              </a:extLst>
            </xdr:cNvPr>
            <xdr:cNvSpPr txBox="1"/>
          </xdr:nvSpPr>
          <xdr:spPr>
            <a:xfrm>
              <a:off x="4086224" y="2295525"/>
              <a:ext cx="352426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b="0" i="0" kern="1200">
                  <a:latin typeface="Cambria Math" panose="02040503050406030204" pitchFamily="18" charset="0"/>
                </a:rPr>
                <a:t>𝑥 ̅</a:t>
              </a:r>
              <a:r>
                <a:rPr lang="en-GB" sz="1200" kern="1200"/>
                <a:t> =</a:t>
              </a:r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5302-21B3-4A43-B652-6048069F2934}">
  <dimension ref="A1:P213"/>
  <sheetViews>
    <sheetView topLeftCell="A160" zoomScale="85" zoomScaleNormal="85" workbookViewId="0">
      <selection sqref="A1:B201"/>
    </sheetView>
  </sheetViews>
  <sheetFormatPr defaultRowHeight="15" x14ac:dyDescent="0.25"/>
  <cols>
    <col min="1" max="1" width="29.5703125" style="2" customWidth="1"/>
    <col min="2" max="2" width="20.28515625" style="2" customWidth="1"/>
    <col min="3" max="3" width="19.28515625" style="4" customWidth="1"/>
    <col min="4" max="4" width="16.7109375" style="4" customWidth="1"/>
    <col min="6" max="6" width="13.28515625" style="2" customWidth="1"/>
    <col min="7" max="7" width="12.42578125" style="2" customWidth="1"/>
    <col min="8" max="8" width="25.28515625" style="2" customWidth="1"/>
    <col min="9" max="9" width="14.5703125" style="2" customWidth="1"/>
    <col min="10" max="10" width="15.7109375" style="2" customWidth="1"/>
    <col min="12" max="12" width="16.42578125" customWidth="1"/>
    <col min="13" max="13" width="16.5703125" customWidth="1"/>
    <col min="15" max="15" width="11" customWidth="1"/>
    <col min="16" max="16" width="20.5703125" customWidth="1"/>
  </cols>
  <sheetData>
    <row r="1" spans="1:16" x14ac:dyDescent="0.25">
      <c r="A1" s="3" t="s">
        <v>0</v>
      </c>
      <c r="B1" s="3" t="s">
        <v>1</v>
      </c>
      <c r="C1" s="4" t="s">
        <v>2</v>
      </c>
      <c r="D1" s="4" t="s">
        <v>3</v>
      </c>
      <c r="F1" s="1"/>
      <c r="G1" s="1"/>
      <c r="H1" s="1"/>
      <c r="I1" s="1"/>
      <c r="J1" s="1"/>
    </row>
    <row r="2" spans="1:16" x14ac:dyDescent="0.25">
      <c r="A2" s="2">
        <v>230.1</v>
      </c>
      <c r="B2" s="2">
        <v>22.1</v>
      </c>
      <c r="C2" s="4">
        <f>$B$209 + ($B$210*A2)</f>
        <v>17.970774512765537</v>
      </c>
      <c r="D2" s="4">
        <f>B2-C2</f>
        <v>4.1292254872344643</v>
      </c>
    </row>
    <row r="3" spans="1:16" x14ac:dyDescent="0.25">
      <c r="A3" s="2">
        <v>44.5</v>
      </c>
      <c r="B3" s="2">
        <v>10.4</v>
      </c>
      <c r="C3" s="4">
        <f t="shared" ref="C3:C66" si="0">$B$209 + ($B$210*A3)</f>
        <v>9.1479740483970815</v>
      </c>
      <c r="D3" s="4">
        <f t="shared" ref="D3:D66" si="1">B3-C3</f>
        <v>1.2520259516029189</v>
      </c>
    </row>
    <row r="4" spans="1:16" x14ac:dyDescent="0.25">
      <c r="A4" s="2">
        <v>17.2</v>
      </c>
      <c r="B4" s="2">
        <v>9.3000000000000007</v>
      </c>
      <c r="C4" s="4">
        <f t="shared" si="0"/>
        <v>7.8502237645756443</v>
      </c>
      <c r="D4" s="4">
        <f t="shared" si="1"/>
        <v>1.4497762354243564</v>
      </c>
    </row>
    <row r="5" spans="1:16" x14ac:dyDescent="0.25">
      <c r="A5" s="2">
        <v>151.5</v>
      </c>
      <c r="B5" s="2">
        <v>18.5</v>
      </c>
      <c r="C5" s="4">
        <f t="shared" si="0"/>
        <v>14.234394574730189</v>
      </c>
      <c r="D5" s="4">
        <f t="shared" si="1"/>
        <v>4.2656054252698112</v>
      </c>
    </row>
    <row r="6" spans="1:16" x14ac:dyDescent="0.25">
      <c r="A6" s="2">
        <v>180.8</v>
      </c>
      <c r="B6" s="2">
        <v>12.9</v>
      </c>
      <c r="C6" s="4">
        <f t="shared" si="0"/>
        <v>15.627218139417666</v>
      </c>
      <c r="D6" s="4">
        <f t="shared" si="1"/>
        <v>-2.7272181394176656</v>
      </c>
      <c r="G6" s="7"/>
      <c r="H6" s="7"/>
      <c r="I6" s="7"/>
      <c r="J6" s="7"/>
      <c r="L6" s="7"/>
      <c r="M6" s="7"/>
      <c r="N6" s="7"/>
      <c r="O6" s="7"/>
      <c r="P6" s="7"/>
    </row>
    <row r="7" spans="1:16" x14ac:dyDescent="0.25">
      <c r="A7" s="2">
        <v>8.6999999999999993</v>
      </c>
      <c r="B7" s="2">
        <v>7.2</v>
      </c>
      <c r="C7" s="4">
        <f t="shared" si="0"/>
        <v>7.4461623208949765</v>
      </c>
      <c r="D7" s="4">
        <f t="shared" si="1"/>
        <v>-0.24616232089497636</v>
      </c>
    </row>
    <row r="8" spans="1:16" x14ac:dyDescent="0.25">
      <c r="A8" s="2">
        <v>57.5</v>
      </c>
      <c r="B8" s="2">
        <v>11.8</v>
      </c>
      <c r="C8" s="4">
        <f t="shared" si="0"/>
        <v>9.7659503740263371</v>
      </c>
      <c r="D8" s="4">
        <f t="shared" si="1"/>
        <v>2.0340496259736636</v>
      </c>
    </row>
    <row r="9" spans="1:16" x14ac:dyDescent="0.25">
      <c r="A9" s="2">
        <v>120.2</v>
      </c>
      <c r="B9" s="2">
        <v>13.2</v>
      </c>
      <c r="C9" s="4">
        <f t="shared" si="0"/>
        <v>12.746497729176671</v>
      </c>
      <c r="D9" s="4">
        <f t="shared" si="1"/>
        <v>0.4535022708233285</v>
      </c>
    </row>
    <row r="10" spans="1:16" x14ac:dyDescent="0.25">
      <c r="A10" s="2">
        <v>8.6</v>
      </c>
      <c r="B10" s="2">
        <v>4.8</v>
      </c>
      <c r="C10" s="4">
        <f t="shared" si="0"/>
        <v>7.4414086568516744</v>
      </c>
      <c r="D10" s="4">
        <f t="shared" si="1"/>
        <v>-2.6414086568516746</v>
      </c>
    </row>
    <row r="11" spans="1:16" x14ac:dyDescent="0.25">
      <c r="A11" s="2">
        <v>199.8</v>
      </c>
      <c r="B11" s="2">
        <v>10.6</v>
      </c>
      <c r="C11" s="4">
        <f t="shared" si="0"/>
        <v>16.530414307645039</v>
      </c>
      <c r="D11" s="4">
        <f t="shared" si="1"/>
        <v>-5.9304143076450391</v>
      </c>
      <c r="M11" s="8"/>
    </row>
    <row r="12" spans="1:16" x14ac:dyDescent="0.25">
      <c r="A12" s="2">
        <v>66.099999999999994</v>
      </c>
      <c r="B12" s="2">
        <v>8.6</v>
      </c>
      <c r="C12" s="4">
        <f t="shared" si="0"/>
        <v>10.174765481750306</v>
      </c>
      <c r="D12" s="4">
        <f t="shared" si="1"/>
        <v>-1.5747654817503065</v>
      </c>
      <c r="M12" s="8"/>
    </row>
    <row r="13" spans="1:16" x14ac:dyDescent="0.25">
      <c r="A13" s="2">
        <v>214.7</v>
      </c>
      <c r="B13" s="2">
        <v>17.399999999999999</v>
      </c>
      <c r="C13" s="4">
        <f t="shared" si="0"/>
        <v>17.238710250097032</v>
      </c>
      <c r="D13" s="4">
        <f t="shared" si="1"/>
        <v>0.16128974990296641</v>
      </c>
    </row>
    <row r="14" spans="1:16" x14ac:dyDescent="0.25">
      <c r="A14" s="2">
        <v>23.8</v>
      </c>
      <c r="B14" s="2">
        <v>9.1999999999999993</v>
      </c>
      <c r="C14" s="4">
        <f t="shared" si="0"/>
        <v>8.1639655914335734</v>
      </c>
      <c r="D14" s="4">
        <f t="shared" si="1"/>
        <v>1.0360344085664259</v>
      </c>
    </row>
    <row r="15" spans="1:16" x14ac:dyDescent="0.25">
      <c r="A15" s="2">
        <v>97.5</v>
      </c>
      <c r="B15" s="2">
        <v>9.6999999999999993</v>
      </c>
      <c r="C15" s="4">
        <f t="shared" si="0"/>
        <v>11.667415991347125</v>
      </c>
      <c r="D15" s="4">
        <f t="shared" si="1"/>
        <v>-1.9674159913471261</v>
      </c>
    </row>
    <row r="16" spans="1:16" x14ac:dyDescent="0.25">
      <c r="A16" s="2">
        <v>204.1</v>
      </c>
      <c r="B16" s="2">
        <v>19</v>
      </c>
      <c r="C16" s="4">
        <f t="shared" si="0"/>
        <v>16.734821861507022</v>
      </c>
      <c r="D16" s="4">
        <f t="shared" si="1"/>
        <v>2.2651781384929777</v>
      </c>
    </row>
    <row r="17" spans="1:4" x14ac:dyDescent="0.25">
      <c r="A17" s="2">
        <v>195.4</v>
      </c>
      <c r="B17" s="2">
        <v>22.4</v>
      </c>
      <c r="C17" s="4">
        <f t="shared" si="0"/>
        <v>16.321253089739752</v>
      </c>
      <c r="D17" s="4">
        <f t="shared" si="1"/>
        <v>6.0787469102602465</v>
      </c>
    </row>
    <row r="18" spans="1:4" x14ac:dyDescent="0.25">
      <c r="A18" s="2">
        <v>67.8</v>
      </c>
      <c r="B18" s="2">
        <v>12.5</v>
      </c>
      <c r="C18" s="4">
        <f t="shared" si="0"/>
        <v>10.25557777048644</v>
      </c>
      <c r="D18" s="4">
        <f t="shared" si="1"/>
        <v>2.2444222295135603</v>
      </c>
    </row>
    <row r="19" spans="1:4" x14ac:dyDescent="0.25">
      <c r="A19" s="2">
        <v>281.39999999999998</v>
      </c>
      <c r="B19" s="2">
        <v>24.4</v>
      </c>
      <c r="C19" s="4">
        <f t="shared" si="0"/>
        <v>20.409404166979442</v>
      </c>
      <c r="D19" s="4">
        <f t="shared" si="1"/>
        <v>3.9905958330205564</v>
      </c>
    </row>
    <row r="20" spans="1:4" x14ac:dyDescent="0.25">
      <c r="A20" s="2">
        <v>69.2</v>
      </c>
      <c r="B20" s="2">
        <v>11.3</v>
      </c>
      <c r="C20" s="4">
        <f t="shared" si="0"/>
        <v>10.322129067092668</v>
      </c>
      <c r="D20" s="4">
        <f t="shared" si="1"/>
        <v>0.97787093290733296</v>
      </c>
    </row>
    <row r="21" spans="1:4" x14ac:dyDescent="0.25">
      <c r="A21" s="2">
        <v>147.30000000000001</v>
      </c>
      <c r="B21" s="2">
        <v>14.6</v>
      </c>
      <c r="C21" s="4">
        <f t="shared" si="0"/>
        <v>14.034740684911505</v>
      </c>
      <c r="D21" s="4">
        <f t="shared" si="1"/>
        <v>0.56525931508849503</v>
      </c>
    </row>
    <row r="22" spans="1:4" x14ac:dyDescent="0.25">
      <c r="A22" s="2">
        <v>218.4</v>
      </c>
      <c r="B22" s="2">
        <v>18</v>
      </c>
      <c r="C22" s="4">
        <f t="shared" si="0"/>
        <v>17.414595819699205</v>
      </c>
      <c r="D22" s="4">
        <f t="shared" si="1"/>
        <v>0.58540418030079522</v>
      </c>
    </row>
    <row r="23" spans="1:4" x14ac:dyDescent="0.25">
      <c r="A23" s="2">
        <v>237.4</v>
      </c>
      <c r="B23" s="2">
        <v>12.5</v>
      </c>
      <c r="C23" s="4">
        <f t="shared" si="0"/>
        <v>18.317791987926579</v>
      </c>
      <c r="D23" s="4">
        <f t="shared" si="1"/>
        <v>-5.8177919879265794</v>
      </c>
    </row>
    <row r="24" spans="1:4" x14ac:dyDescent="0.25">
      <c r="A24" s="2">
        <v>13.2</v>
      </c>
      <c r="B24" s="2">
        <v>5.6</v>
      </c>
      <c r="C24" s="4">
        <f t="shared" si="0"/>
        <v>7.6600772028435653</v>
      </c>
      <c r="D24" s="4">
        <f t="shared" si="1"/>
        <v>-2.0600772028435657</v>
      </c>
    </row>
    <row r="25" spans="1:4" x14ac:dyDescent="0.25">
      <c r="A25" s="2">
        <v>228.3</v>
      </c>
      <c r="B25" s="2">
        <v>15.5</v>
      </c>
      <c r="C25" s="4">
        <f t="shared" si="0"/>
        <v>17.885208559986101</v>
      </c>
      <c r="D25" s="4">
        <f t="shared" si="1"/>
        <v>-2.3852085599861006</v>
      </c>
    </row>
    <row r="26" spans="1:4" x14ac:dyDescent="0.25">
      <c r="A26" s="2">
        <v>62.3</v>
      </c>
      <c r="B26" s="2">
        <v>9.6999999999999993</v>
      </c>
      <c r="C26" s="4">
        <f t="shared" si="0"/>
        <v>9.9941262481048323</v>
      </c>
      <c r="D26" s="4">
        <f t="shared" si="1"/>
        <v>-0.29412624810483301</v>
      </c>
    </row>
    <row r="27" spans="1:4" x14ac:dyDescent="0.25">
      <c r="A27" s="2">
        <v>262.89999999999998</v>
      </c>
      <c r="B27" s="2">
        <v>12</v>
      </c>
      <c r="C27" s="4">
        <f t="shared" si="0"/>
        <v>19.529976318968579</v>
      </c>
      <c r="D27" s="4">
        <f t="shared" si="1"/>
        <v>-7.5299763189685791</v>
      </c>
    </row>
    <row r="28" spans="1:4" x14ac:dyDescent="0.25">
      <c r="A28" s="2">
        <v>142.9</v>
      </c>
      <c r="B28" s="2">
        <v>15</v>
      </c>
      <c r="C28" s="4">
        <f t="shared" si="0"/>
        <v>13.825579467006218</v>
      </c>
      <c r="D28" s="4">
        <f t="shared" si="1"/>
        <v>1.174420532993782</v>
      </c>
    </row>
    <row r="29" spans="1:4" x14ac:dyDescent="0.25">
      <c r="A29" s="2">
        <v>240.1</v>
      </c>
      <c r="B29" s="2">
        <v>15.9</v>
      </c>
      <c r="C29" s="4">
        <f t="shared" si="0"/>
        <v>18.446140917095732</v>
      </c>
      <c r="D29" s="4">
        <f t="shared" si="1"/>
        <v>-2.5461409170957321</v>
      </c>
    </row>
    <row r="30" spans="1:4" x14ac:dyDescent="0.25">
      <c r="A30" s="2">
        <v>248.8</v>
      </c>
      <c r="B30" s="2">
        <v>18.899999999999999</v>
      </c>
      <c r="C30" s="4">
        <f t="shared" si="0"/>
        <v>18.859709688863006</v>
      </c>
      <c r="D30" s="4">
        <f t="shared" si="1"/>
        <v>4.0290311136992329E-2</v>
      </c>
    </row>
    <row r="31" spans="1:4" x14ac:dyDescent="0.25">
      <c r="A31" s="2">
        <v>70.599999999999994</v>
      </c>
      <c r="B31" s="2">
        <v>10.5</v>
      </c>
      <c r="C31" s="4">
        <f t="shared" si="0"/>
        <v>10.388680363698896</v>
      </c>
      <c r="D31" s="4">
        <f t="shared" si="1"/>
        <v>0.1113196363011042</v>
      </c>
    </row>
    <row r="32" spans="1:4" x14ac:dyDescent="0.25">
      <c r="A32" s="2">
        <v>292.89999999999998</v>
      </c>
      <c r="B32" s="2">
        <v>21.4</v>
      </c>
      <c r="C32" s="4">
        <f t="shared" si="0"/>
        <v>20.956075531959172</v>
      </c>
      <c r="D32" s="4">
        <f t="shared" si="1"/>
        <v>0.44392446804082653</v>
      </c>
    </row>
    <row r="33" spans="1:4" x14ac:dyDescent="0.25">
      <c r="A33" s="2">
        <v>112.9</v>
      </c>
      <c r="B33" s="2">
        <v>11.9</v>
      </c>
      <c r="C33" s="4">
        <f t="shared" si="0"/>
        <v>12.399480254015629</v>
      </c>
      <c r="D33" s="4">
        <f t="shared" si="1"/>
        <v>-0.49948025401562823</v>
      </c>
    </row>
    <row r="34" spans="1:4" x14ac:dyDescent="0.25">
      <c r="A34" s="2">
        <v>97.2</v>
      </c>
      <c r="B34" s="2">
        <v>9.6</v>
      </c>
      <c r="C34" s="4">
        <f t="shared" si="0"/>
        <v>11.653154999217218</v>
      </c>
      <c r="D34" s="4">
        <f t="shared" si="1"/>
        <v>-2.0531549992172184</v>
      </c>
    </row>
    <row r="35" spans="1:4" x14ac:dyDescent="0.25">
      <c r="A35" s="2">
        <v>265.60000000000002</v>
      </c>
      <c r="B35" s="2">
        <v>17.399999999999999</v>
      </c>
      <c r="C35" s="4">
        <f t="shared" si="0"/>
        <v>19.658325248137736</v>
      </c>
      <c r="D35" s="4">
        <f t="shared" si="1"/>
        <v>-2.2583252481377372</v>
      </c>
    </row>
    <row r="36" spans="1:4" x14ac:dyDescent="0.25">
      <c r="A36" s="2">
        <v>95.7</v>
      </c>
      <c r="B36" s="2">
        <v>9.5</v>
      </c>
      <c r="C36" s="4">
        <f t="shared" si="0"/>
        <v>11.581850038567691</v>
      </c>
      <c r="D36" s="4">
        <f t="shared" si="1"/>
        <v>-2.0818500385676906</v>
      </c>
    </row>
    <row r="37" spans="1:4" x14ac:dyDescent="0.25">
      <c r="A37" s="2">
        <v>290.7</v>
      </c>
      <c r="B37" s="2">
        <v>12.8</v>
      </c>
      <c r="C37" s="4">
        <f t="shared" si="0"/>
        <v>20.851494923006527</v>
      </c>
      <c r="D37" s="4">
        <f t="shared" si="1"/>
        <v>-8.0514949230065262</v>
      </c>
    </row>
    <row r="38" spans="1:4" x14ac:dyDescent="0.25">
      <c r="A38" s="2">
        <v>266.89999999999998</v>
      </c>
      <c r="B38" s="2">
        <v>25.4</v>
      </c>
      <c r="C38" s="4">
        <f t="shared" si="0"/>
        <v>19.720122880700657</v>
      </c>
      <c r="D38" s="4">
        <f t="shared" si="1"/>
        <v>5.6798771192993414</v>
      </c>
    </row>
    <row r="39" spans="1:4" x14ac:dyDescent="0.25">
      <c r="A39" s="2">
        <v>74.7</v>
      </c>
      <c r="B39" s="2">
        <v>14.7</v>
      </c>
      <c r="C39" s="4">
        <f t="shared" si="0"/>
        <v>10.583580589474277</v>
      </c>
      <c r="D39" s="4">
        <f t="shared" si="1"/>
        <v>4.1164194105257224</v>
      </c>
    </row>
    <row r="40" spans="1:4" x14ac:dyDescent="0.25">
      <c r="A40" s="2">
        <v>43.1</v>
      </c>
      <c r="B40" s="2">
        <v>10.1</v>
      </c>
      <c r="C40" s="4">
        <f t="shared" si="0"/>
        <v>9.0814227517908535</v>
      </c>
      <c r="D40" s="4">
        <f t="shared" si="1"/>
        <v>1.0185772482091462</v>
      </c>
    </row>
    <row r="41" spans="1:4" x14ac:dyDescent="0.25">
      <c r="A41" s="2">
        <v>228</v>
      </c>
      <c r="B41" s="2">
        <v>21.5</v>
      </c>
      <c r="C41" s="4">
        <f t="shared" si="0"/>
        <v>17.870947567856192</v>
      </c>
      <c r="D41" s="4">
        <f t="shared" si="1"/>
        <v>3.6290524321438085</v>
      </c>
    </row>
    <row r="42" spans="1:4" x14ac:dyDescent="0.25">
      <c r="A42" s="2">
        <v>202.5</v>
      </c>
      <c r="B42" s="2">
        <v>16.600000000000001</v>
      </c>
      <c r="C42" s="4">
        <f t="shared" si="0"/>
        <v>16.658763236814192</v>
      </c>
      <c r="D42" s="4">
        <f t="shared" si="1"/>
        <v>-5.8763236814190378E-2</v>
      </c>
    </row>
    <row r="43" spans="1:4" x14ac:dyDescent="0.25">
      <c r="A43" s="2">
        <v>177</v>
      </c>
      <c r="B43" s="2">
        <v>17.100000000000001</v>
      </c>
      <c r="C43" s="4">
        <f t="shared" si="0"/>
        <v>15.44657890577219</v>
      </c>
      <c r="D43" s="4">
        <f t="shared" si="1"/>
        <v>1.6534210942278111</v>
      </c>
    </row>
    <row r="44" spans="1:4" x14ac:dyDescent="0.25">
      <c r="A44" s="2">
        <v>293.60000000000002</v>
      </c>
      <c r="B44" s="2">
        <v>20.7</v>
      </c>
      <c r="C44" s="4">
        <f t="shared" si="0"/>
        <v>20.989351180262286</v>
      </c>
      <c r="D44" s="4">
        <f t="shared" si="1"/>
        <v>-0.28935118026228679</v>
      </c>
    </row>
    <row r="45" spans="1:4" x14ac:dyDescent="0.25">
      <c r="A45" s="2">
        <v>206.9</v>
      </c>
      <c r="B45" s="2">
        <v>12.9</v>
      </c>
      <c r="C45" s="4">
        <f t="shared" si="0"/>
        <v>16.867924454719478</v>
      </c>
      <c r="D45" s="4">
        <f t="shared" si="1"/>
        <v>-3.9679244547194781</v>
      </c>
    </row>
    <row r="46" spans="1:4" x14ac:dyDescent="0.25">
      <c r="A46" s="2">
        <v>25.1</v>
      </c>
      <c r="B46" s="2">
        <v>8.5</v>
      </c>
      <c r="C46" s="4">
        <f t="shared" si="0"/>
        <v>8.2257632239965002</v>
      </c>
      <c r="D46" s="4">
        <f t="shared" si="1"/>
        <v>0.27423677600349983</v>
      </c>
    </row>
    <row r="47" spans="1:4" x14ac:dyDescent="0.25">
      <c r="A47" s="2">
        <v>175.1</v>
      </c>
      <c r="B47" s="2">
        <v>14.9</v>
      </c>
      <c r="C47" s="4">
        <f t="shared" si="0"/>
        <v>15.356259288949452</v>
      </c>
      <c r="D47" s="4">
        <f t="shared" si="1"/>
        <v>-0.45625928894945211</v>
      </c>
    </row>
    <row r="48" spans="1:4" x14ac:dyDescent="0.25">
      <c r="A48" s="2">
        <v>89.7</v>
      </c>
      <c r="B48" s="2">
        <v>10.6</v>
      </c>
      <c r="C48" s="4">
        <f t="shared" si="0"/>
        <v>11.296630195969572</v>
      </c>
      <c r="D48" s="4">
        <f t="shared" si="1"/>
        <v>-0.69663019596957199</v>
      </c>
    </row>
    <row r="49" spans="1:4" x14ac:dyDescent="0.25">
      <c r="A49" s="2">
        <v>239.9</v>
      </c>
      <c r="B49" s="2">
        <v>23.2</v>
      </c>
      <c r="C49" s="4">
        <f t="shared" si="0"/>
        <v>18.436633589009126</v>
      </c>
      <c r="D49" s="4">
        <f t="shared" si="1"/>
        <v>4.7633664109908729</v>
      </c>
    </row>
    <row r="50" spans="1:4" x14ac:dyDescent="0.25">
      <c r="A50" s="2">
        <v>227.2</v>
      </c>
      <c r="B50" s="2">
        <v>14.8</v>
      </c>
      <c r="C50" s="4">
        <f t="shared" si="0"/>
        <v>17.832918255509778</v>
      </c>
      <c r="D50" s="4">
        <f t="shared" si="1"/>
        <v>-3.0329182555097773</v>
      </c>
    </row>
    <row r="51" spans="1:4" x14ac:dyDescent="0.25">
      <c r="A51" s="2">
        <v>66.900000000000006</v>
      </c>
      <c r="B51" s="2">
        <v>9.6999999999999993</v>
      </c>
      <c r="C51" s="4">
        <f t="shared" si="0"/>
        <v>10.212794794096723</v>
      </c>
      <c r="D51" s="4">
        <f t="shared" si="1"/>
        <v>-0.5127947940967239</v>
      </c>
    </row>
    <row r="52" spans="1:4" x14ac:dyDescent="0.25">
      <c r="A52" s="2">
        <v>199.8</v>
      </c>
      <c r="B52" s="2">
        <v>11.4</v>
      </c>
      <c r="C52" s="4">
        <f t="shared" si="0"/>
        <v>16.530414307645039</v>
      </c>
      <c r="D52" s="4">
        <f t="shared" si="1"/>
        <v>-5.1304143076450384</v>
      </c>
    </row>
    <row r="53" spans="1:4" x14ac:dyDescent="0.25">
      <c r="A53" s="2">
        <v>100.4</v>
      </c>
      <c r="B53" s="2">
        <v>10.7</v>
      </c>
      <c r="C53" s="4">
        <f t="shared" si="0"/>
        <v>11.805272248602883</v>
      </c>
      <c r="D53" s="4">
        <f t="shared" si="1"/>
        <v>-1.1052722486028834</v>
      </c>
    </row>
    <row r="54" spans="1:4" x14ac:dyDescent="0.25">
      <c r="A54" s="2">
        <v>216.4</v>
      </c>
      <c r="B54" s="2">
        <v>22.6</v>
      </c>
      <c r="C54" s="4">
        <f t="shared" si="0"/>
        <v>17.319522538833166</v>
      </c>
      <c r="D54" s="4">
        <f t="shared" si="1"/>
        <v>5.2804774611668357</v>
      </c>
    </row>
    <row r="55" spans="1:4" x14ac:dyDescent="0.25">
      <c r="A55" s="2">
        <v>182.6</v>
      </c>
      <c r="B55" s="2">
        <v>21.2</v>
      </c>
      <c r="C55" s="4">
        <f t="shared" si="0"/>
        <v>15.712784092197101</v>
      </c>
      <c r="D55" s="4">
        <f t="shared" si="1"/>
        <v>5.4872159078028986</v>
      </c>
    </row>
    <row r="56" spans="1:4" x14ac:dyDescent="0.25">
      <c r="A56" s="2">
        <v>262.7</v>
      </c>
      <c r="B56" s="2">
        <v>20.2</v>
      </c>
      <c r="C56" s="4">
        <f t="shared" si="0"/>
        <v>19.520468990881977</v>
      </c>
      <c r="D56" s="4">
        <f t="shared" si="1"/>
        <v>0.67953100911802267</v>
      </c>
    </row>
    <row r="57" spans="1:4" x14ac:dyDescent="0.25">
      <c r="A57" s="2">
        <v>198.9</v>
      </c>
      <c r="B57" s="2">
        <v>23.7</v>
      </c>
      <c r="C57" s="4">
        <f t="shared" si="0"/>
        <v>16.487631331255322</v>
      </c>
      <c r="D57" s="4">
        <f t="shared" si="1"/>
        <v>7.2123686687446771</v>
      </c>
    </row>
    <row r="58" spans="1:4" x14ac:dyDescent="0.25">
      <c r="A58" s="2">
        <v>7.3</v>
      </c>
      <c r="B58" s="2">
        <v>5.5</v>
      </c>
      <c r="C58" s="4">
        <f t="shared" si="0"/>
        <v>7.3796110242887494</v>
      </c>
      <c r="D58" s="4">
        <f t="shared" si="1"/>
        <v>-1.8796110242887494</v>
      </c>
    </row>
    <row r="59" spans="1:4" x14ac:dyDescent="0.25">
      <c r="A59" s="2">
        <v>136.19999999999999</v>
      </c>
      <c r="B59" s="2">
        <v>13.2</v>
      </c>
      <c r="C59" s="4">
        <f t="shared" si="0"/>
        <v>13.507083976104987</v>
      </c>
      <c r="D59" s="4">
        <f t="shared" si="1"/>
        <v>-0.3070839761049875</v>
      </c>
    </row>
    <row r="60" spans="1:4" x14ac:dyDescent="0.25">
      <c r="A60" s="2">
        <v>210.8</v>
      </c>
      <c r="B60" s="2">
        <v>23.8</v>
      </c>
      <c r="C60" s="4">
        <f t="shared" si="0"/>
        <v>17.053317352408257</v>
      </c>
      <c r="D60" s="4">
        <f t="shared" si="1"/>
        <v>6.7466826475917436</v>
      </c>
    </row>
    <row r="61" spans="1:4" x14ac:dyDescent="0.25">
      <c r="A61" s="2">
        <v>210.7</v>
      </c>
      <c r="B61" s="2">
        <v>18.399999999999999</v>
      </c>
      <c r="C61" s="4">
        <f t="shared" si="0"/>
        <v>17.048563688364951</v>
      </c>
      <c r="D61" s="4">
        <f t="shared" si="1"/>
        <v>1.3514363116350481</v>
      </c>
    </row>
    <row r="62" spans="1:4" x14ac:dyDescent="0.25">
      <c r="A62" s="2">
        <v>53.5</v>
      </c>
      <c r="B62" s="2">
        <v>8.1</v>
      </c>
      <c r="C62" s="4">
        <f t="shared" si="0"/>
        <v>9.575803812294259</v>
      </c>
      <c r="D62" s="4">
        <f t="shared" si="1"/>
        <v>-1.4758038122942594</v>
      </c>
    </row>
    <row r="63" spans="1:4" x14ac:dyDescent="0.25">
      <c r="A63" s="2">
        <v>261.3</v>
      </c>
      <c r="B63" s="2">
        <v>24.2</v>
      </c>
      <c r="C63" s="4">
        <f t="shared" si="0"/>
        <v>19.453917694275752</v>
      </c>
      <c r="D63" s="4">
        <f t="shared" si="1"/>
        <v>4.7460823057242472</v>
      </c>
    </row>
    <row r="64" spans="1:4" x14ac:dyDescent="0.25">
      <c r="A64" s="2">
        <v>239.3</v>
      </c>
      <c r="B64" s="2">
        <v>15.7</v>
      </c>
      <c r="C64" s="4">
        <f t="shared" si="0"/>
        <v>18.408111604749315</v>
      </c>
      <c r="D64" s="4">
        <f t="shared" si="1"/>
        <v>-2.7081116047493161</v>
      </c>
    </row>
    <row r="65" spans="1:4" x14ac:dyDescent="0.25">
      <c r="A65" s="2">
        <v>102.7</v>
      </c>
      <c r="B65" s="2">
        <v>14</v>
      </c>
      <c r="C65" s="4">
        <f t="shared" si="0"/>
        <v>11.914606521598827</v>
      </c>
      <c r="D65" s="4">
        <f t="shared" si="1"/>
        <v>2.0853934784011727</v>
      </c>
    </row>
    <row r="66" spans="1:4" x14ac:dyDescent="0.25">
      <c r="A66" s="2">
        <v>131.1</v>
      </c>
      <c r="B66" s="2">
        <v>18</v>
      </c>
      <c r="C66" s="4">
        <f t="shared" si="0"/>
        <v>13.264647109896586</v>
      </c>
      <c r="D66" s="4">
        <f t="shared" si="1"/>
        <v>4.7353528901034139</v>
      </c>
    </row>
    <row r="67" spans="1:4" x14ac:dyDescent="0.25">
      <c r="A67" s="2">
        <v>69</v>
      </c>
      <c r="B67" s="2">
        <v>9.3000000000000007</v>
      </c>
      <c r="C67" s="4">
        <f t="shared" ref="C67:C130" si="2">$B$209 + ($B$210*A67)</f>
        <v>10.312621739006063</v>
      </c>
      <c r="D67" s="4">
        <f t="shared" ref="D67:D130" si="3">B67-C67</f>
        <v>-1.0126217390060628</v>
      </c>
    </row>
    <row r="68" spans="1:4" x14ac:dyDescent="0.25">
      <c r="A68" s="2">
        <v>31.5</v>
      </c>
      <c r="B68" s="2">
        <v>9.5</v>
      </c>
      <c r="C68" s="4">
        <f t="shared" si="2"/>
        <v>8.5299977227678259</v>
      </c>
      <c r="D68" s="4">
        <f t="shared" si="3"/>
        <v>0.97000227723217414</v>
      </c>
    </row>
    <row r="69" spans="1:4" x14ac:dyDescent="0.25">
      <c r="A69" s="2">
        <v>139.30000000000001</v>
      </c>
      <c r="B69" s="2">
        <v>13.4</v>
      </c>
      <c r="C69" s="4">
        <f t="shared" si="2"/>
        <v>13.654447561447348</v>
      </c>
      <c r="D69" s="4">
        <f t="shared" si="3"/>
        <v>-0.25444756144734804</v>
      </c>
    </row>
    <row r="70" spans="1:4" x14ac:dyDescent="0.25">
      <c r="A70" s="2">
        <v>237.4</v>
      </c>
      <c r="B70" s="2">
        <v>18.899999999999999</v>
      </c>
      <c r="C70" s="4">
        <f t="shared" si="2"/>
        <v>18.317791987926579</v>
      </c>
      <c r="D70" s="4">
        <f t="shared" si="3"/>
        <v>0.58220801207341921</v>
      </c>
    </row>
    <row r="71" spans="1:4" x14ac:dyDescent="0.25">
      <c r="A71" s="2">
        <v>216.8</v>
      </c>
      <c r="B71" s="2">
        <v>22.3</v>
      </c>
      <c r="C71" s="4">
        <f t="shared" si="2"/>
        <v>17.338537195006374</v>
      </c>
      <c r="D71" s="4">
        <f t="shared" si="3"/>
        <v>4.9614628049936265</v>
      </c>
    </row>
    <row r="72" spans="1:4" x14ac:dyDescent="0.25">
      <c r="A72" s="2">
        <v>199.1</v>
      </c>
      <c r="B72" s="2">
        <v>18.3</v>
      </c>
      <c r="C72" s="4">
        <f t="shared" si="2"/>
        <v>16.497138659341925</v>
      </c>
      <c r="D72" s="4">
        <f t="shared" si="3"/>
        <v>1.802861340658076</v>
      </c>
    </row>
    <row r="73" spans="1:4" x14ac:dyDescent="0.25">
      <c r="A73" s="2">
        <v>109.8</v>
      </c>
      <c r="B73" s="2">
        <v>12.4</v>
      </c>
      <c r="C73" s="4">
        <f t="shared" si="2"/>
        <v>12.252116668673267</v>
      </c>
      <c r="D73" s="4">
        <f t="shared" si="3"/>
        <v>0.14788333132673337</v>
      </c>
    </row>
    <row r="74" spans="1:4" x14ac:dyDescent="0.25">
      <c r="A74" s="2">
        <v>26.8</v>
      </c>
      <c r="B74" s="2">
        <v>8.8000000000000007</v>
      </c>
      <c r="C74" s="4">
        <f t="shared" si="2"/>
        <v>8.3065755127326337</v>
      </c>
      <c r="D74" s="4">
        <f t="shared" si="3"/>
        <v>0.49342448726736698</v>
      </c>
    </row>
    <row r="75" spans="1:4" x14ac:dyDescent="0.25">
      <c r="A75" s="2">
        <v>129.4</v>
      </c>
      <c r="B75" s="2">
        <v>11</v>
      </c>
      <c r="C75" s="4">
        <f t="shared" si="2"/>
        <v>13.183834821160453</v>
      </c>
      <c r="D75" s="4">
        <f t="shared" si="3"/>
        <v>-2.1838348211604526</v>
      </c>
    </row>
    <row r="76" spans="1:4" x14ac:dyDescent="0.25">
      <c r="A76" s="2">
        <v>213.4</v>
      </c>
      <c r="B76" s="2">
        <v>17</v>
      </c>
      <c r="C76" s="4">
        <f t="shared" si="2"/>
        <v>17.176912617534107</v>
      </c>
      <c r="D76" s="4">
        <f t="shared" si="3"/>
        <v>-0.17691261753410714</v>
      </c>
    </row>
    <row r="77" spans="1:4" x14ac:dyDescent="0.25">
      <c r="A77" s="2">
        <v>16.899999999999999</v>
      </c>
      <c r="B77" s="2">
        <v>8.6999999999999993</v>
      </c>
      <c r="C77" s="4">
        <f t="shared" si="2"/>
        <v>7.8359627724457379</v>
      </c>
      <c r="D77" s="4">
        <f t="shared" si="3"/>
        <v>0.86403722755426138</v>
      </c>
    </row>
    <row r="78" spans="1:4" x14ac:dyDescent="0.25">
      <c r="A78" s="2">
        <v>27.5</v>
      </c>
      <c r="B78" s="2">
        <v>6.9</v>
      </c>
      <c r="C78" s="4">
        <f t="shared" si="2"/>
        <v>8.339851161035746</v>
      </c>
      <c r="D78" s="4">
        <f t="shared" si="3"/>
        <v>-1.4398511610357456</v>
      </c>
    </row>
    <row r="79" spans="1:4" x14ac:dyDescent="0.25">
      <c r="A79" s="2">
        <v>120.5</v>
      </c>
      <c r="B79" s="2">
        <v>14.2</v>
      </c>
      <c r="C79" s="4">
        <f t="shared" si="2"/>
        <v>12.760758721306578</v>
      </c>
      <c r="D79" s="4">
        <f t="shared" si="3"/>
        <v>1.4392412786934212</v>
      </c>
    </row>
    <row r="80" spans="1:4" x14ac:dyDescent="0.25">
      <c r="A80" s="2">
        <v>5.4</v>
      </c>
      <c r="B80" s="2">
        <v>5.3</v>
      </c>
      <c r="C80" s="4">
        <f t="shared" si="2"/>
        <v>7.2892914074660116</v>
      </c>
      <c r="D80" s="4">
        <f t="shared" si="3"/>
        <v>-1.9892914074660117</v>
      </c>
    </row>
    <row r="81" spans="1:4" x14ac:dyDescent="0.25">
      <c r="A81" s="2">
        <v>116</v>
      </c>
      <c r="B81" s="2">
        <v>11</v>
      </c>
      <c r="C81" s="4">
        <f t="shared" si="2"/>
        <v>12.54684383935799</v>
      </c>
      <c r="D81" s="4">
        <f t="shared" si="3"/>
        <v>-1.5468438393579902</v>
      </c>
    </row>
    <row r="82" spans="1:4" x14ac:dyDescent="0.25">
      <c r="A82" s="2">
        <v>76.400000000000006</v>
      </c>
      <c r="B82" s="2">
        <v>11.8</v>
      </c>
      <c r="C82" s="4">
        <f t="shared" si="2"/>
        <v>10.66439287821041</v>
      </c>
      <c r="D82" s="4">
        <f t="shared" si="3"/>
        <v>1.1356071217895902</v>
      </c>
    </row>
    <row r="83" spans="1:4" x14ac:dyDescent="0.25">
      <c r="A83" s="2">
        <v>239.8</v>
      </c>
      <c r="B83" s="2">
        <v>12.3</v>
      </c>
      <c r="C83" s="4">
        <f t="shared" si="2"/>
        <v>18.431879924965827</v>
      </c>
      <c r="D83" s="4">
        <f t="shared" si="3"/>
        <v>-6.1318799249658262</v>
      </c>
    </row>
    <row r="84" spans="1:4" x14ac:dyDescent="0.25">
      <c r="A84" s="2">
        <v>75.3</v>
      </c>
      <c r="B84" s="2">
        <v>11.3</v>
      </c>
      <c r="C84" s="4">
        <f t="shared" si="2"/>
        <v>10.612102573734088</v>
      </c>
      <c r="D84" s="4">
        <f t="shared" si="3"/>
        <v>0.68789742626591277</v>
      </c>
    </row>
    <row r="85" spans="1:4" x14ac:dyDescent="0.25">
      <c r="A85" s="2">
        <v>68.400000000000006</v>
      </c>
      <c r="B85" s="2">
        <v>13.6</v>
      </c>
      <c r="C85" s="4">
        <f t="shared" si="2"/>
        <v>10.284099754746252</v>
      </c>
      <c r="D85" s="4">
        <f t="shared" si="3"/>
        <v>3.3159002452537472</v>
      </c>
    </row>
    <row r="86" spans="1:4" x14ac:dyDescent="0.25">
      <c r="A86" s="2">
        <v>213.5</v>
      </c>
      <c r="B86" s="2">
        <v>21.7</v>
      </c>
      <c r="C86" s="4">
        <f t="shared" si="2"/>
        <v>17.181666281577407</v>
      </c>
      <c r="D86" s="4">
        <f t="shared" si="3"/>
        <v>4.5183337184225927</v>
      </c>
    </row>
    <row r="87" spans="1:4" x14ac:dyDescent="0.25">
      <c r="A87" s="2">
        <v>193.2</v>
      </c>
      <c r="B87" s="2">
        <v>15.2</v>
      </c>
      <c r="C87" s="4">
        <f t="shared" si="2"/>
        <v>16.216672480787111</v>
      </c>
      <c r="D87" s="4">
        <f t="shared" si="3"/>
        <v>-1.0166724807871113</v>
      </c>
    </row>
    <row r="88" spans="1:4" x14ac:dyDescent="0.25">
      <c r="A88" s="2">
        <v>76.3</v>
      </c>
      <c r="B88" s="2">
        <v>12</v>
      </c>
      <c r="C88" s="4">
        <f t="shared" si="2"/>
        <v>10.659639214167107</v>
      </c>
      <c r="D88" s="4">
        <f t="shared" si="3"/>
        <v>1.3403607858328925</v>
      </c>
    </row>
    <row r="89" spans="1:4" x14ac:dyDescent="0.25">
      <c r="A89" s="2">
        <v>110.7</v>
      </c>
      <c r="B89" s="2">
        <v>16</v>
      </c>
      <c r="C89" s="4">
        <f t="shared" si="2"/>
        <v>12.294899645062985</v>
      </c>
      <c r="D89" s="4">
        <f t="shared" si="3"/>
        <v>3.7051003549370147</v>
      </c>
    </row>
    <row r="90" spans="1:4" x14ac:dyDescent="0.25">
      <c r="A90" s="2">
        <v>88.3</v>
      </c>
      <c r="B90" s="2">
        <v>12.9</v>
      </c>
      <c r="C90" s="4">
        <f t="shared" si="2"/>
        <v>11.230078899363344</v>
      </c>
      <c r="D90" s="4">
        <f t="shared" si="3"/>
        <v>1.6699211006366568</v>
      </c>
    </row>
    <row r="91" spans="1:4" x14ac:dyDescent="0.25">
      <c r="A91" s="2">
        <v>109.8</v>
      </c>
      <c r="B91" s="2">
        <v>16.7</v>
      </c>
      <c r="C91" s="4">
        <f t="shared" si="2"/>
        <v>12.252116668673267</v>
      </c>
      <c r="D91" s="4">
        <f t="shared" si="3"/>
        <v>4.4478833313267323</v>
      </c>
    </row>
    <row r="92" spans="1:4" x14ac:dyDescent="0.25">
      <c r="A92" s="2">
        <v>134.30000000000001</v>
      </c>
      <c r="B92" s="2">
        <v>11.2</v>
      </c>
      <c r="C92" s="4">
        <f t="shared" si="2"/>
        <v>13.416764359282251</v>
      </c>
      <c r="D92" s="4">
        <f t="shared" si="3"/>
        <v>-2.2167643592822515</v>
      </c>
    </row>
    <row r="93" spans="1:4" x14ac:dyDescent="0.25">
      <c r="A93" s="2">
        <v>28.6</v>
      </c>
      <c r="B93" s="2">
        <v>7.3</v>
      </c>
      <c r="C93" s="4">
        <f t="shared" si="2"/>
        <v>8.3921414655120685</v>
      </c>
      <c r="D93" s="4">
        <f t="shared" si="3"/>
        <v>-1.0921414655120687</v>
      </c>
    </row>
    <row r="94" spans="1:4" x14ac:dyDescent="0.25">
      <c r="A94" s="2">
        <v>217.7</v>
      </c>
      <c r="B94" s="2">
        <v>19.399999999999999</v>
      </c>
      <c r="C94" s="4">
        <f t="shared" si="2"/>
        <v>17.381320171396091</v>
      </c>
      <c r="D94" s="4">
        <f t="shared" si="3"/>
        <v>2.0186798286039078</v>
      </c>
    </row>
    <row r="95" spans="1:4" x14ac:dyDescent="0.25">
      <c r="A95" s="2">
        <v>250.9</v>
      </c>
      <c r="B95" s="2">
        <v>22.2</v>
      </c>
      <c r="C95" s="4">
        <f t="shared" si="2"/>
        <v>18.959536633772345</v>
      </c>
      <c r="D95" s="4">
        <f t="shared" si="3"/>
        <v>3.2404633662276545</v>
      </c>
    </row>
    <row r="96" spans="1:4" x14ac:dyDescent="0.25">
      <c r="A96" s="2">
        <v>107.4</v>
      </c>
      <c r="B96" s="2">
        <v>11.5</v>
      </c>
      <c r="C96" s="4">
        <f t="shared" si="2"/>
        <v>12.138028731634019</v>
      </c>
      <c r="D96" s="4">
        <f t="shared" si="3"/>
        <v>-0.63802873163401941</v>
      </c>
    </row>
    <row r="97" spans="1:4" x14ac:dyDescent="0.25">
      <c r="A97" s="2">
        <v>163.30000000000001</v>
      </c>
      <c r="B97" s="2">
        <v>16.899999999999999</v>
      </c>
      <c r="C97" s="4">
        <f t="shared" si="2"/>
        <v>14.795326931839821</v>
      </c>
      <c r="D97" s="4">
        <f t="shared" si="3"/>
        <v>2.104673068160178</v>
      </c>
    </row>
    <row r="98" spans="1:4" x14ac:dyDescent="0.25">
      <c r="A98" s="2">
        <v>197.6</v>
      </c>
      <c r="B98" s="2">
        <v>11.7</v>
      </c>
      <c r="C98" s="4">
        <f t="shared" si="2"/>
        <v>16.425833698692394</v>
      </c>
      <c r="D98" s="4">
        <f t="shared" si="3"/>
        <v>-4.7258336986923943</v>
      </c>
    </row>
    <row r="99" spans="1:4" x14ac:dyDescent="0.25">
      <c r="A99" s="2">
        <v>184.9</v>
      </c>
      <c r="B99" s="2">
        <v>15.5</v>
      </c>
      <c r="C99" s="4">
        <f t="shared" si="2"/>
        <v>15.822118365193045</v>
      </c>
      <c r="D99" s="4">
        <f t="shared" si="3"/>
        <v>-0.32211836519304526</v>
      </c>
    </row>
    <row r="100" spans="1:4" x14ac:dyDescent="0.25">
      <c r="A100" s="2">
        <v>289.7</v>
      </c>
      <c r="B100" s="2">
        <v>25.4</v>
      </c>
      <c r="C100" s="4">
        <f t="shared" si="2"/>
        <v>20.803958282573511</v>
      </c>
      <c r="D100" s="4">
        <f t="shared" si="3"/>
        <v>4.5960417174264876</v>
      </c>
    </row>
    <row r="101" spans="1:4" x14ac:dyDescent="0.25">
      <c r="A101" s="2">
        <v>135.19999999999999</v>
      </c>
      <c r="B101" s="2">
        <v>17.2</v>
      </c>
      <c r="C101" s="4">
        <f t="shared" si="2"/>
        <v>13.459547335671967</v>
      </c>
      <c r="D101" s="4">
        <f t="shared" si="3"/>
        <v>3.740452664328032</v>
      </c>
    </row>
    <row r="102" spans="1:4" x14ac:dyDescent="0.25">
      <c r="A102" s="2">
        <v>222.4</v>
      </c>
      <c r="B102" s="2">
        <v>11.7</v>
      </c>
      <c r="C102" s="4">
        <f t="shared" si="2"/>
        <v>17.604742381431286</v>
      </c>
      <c r="D102" s="4">
        <f t="shared" si="3"/>
        <v>-5.9047423814312872</v>
      </c>
    </row>
    <row r="103" spans="1:4" x14ac:dyDescent="0.25">
      <c r="A103" s="2">
        <v>296.39999999999998</v>
      </c>
      <c r="B103" s="2">
        <v>23.8</v>
      </c>
      <c r="C103" s="4">
        <f t="shared" si="2"/>
        <v>21.122453773474739</v>
      </c>
      <c r="D103" s="4">
        <f t="shared" si="3"/>
        <v>2.6775462265252621</v>
      </c>
    </row>
    <row r="104" spans="1:4" x14ac:dyDescent="0.25">
      <c r="A104" s="2">
        <v>280.2</v>
      </c>
      <c r="B104" s="2">
        <v>14.8</v>
      </c>
      <c r="C104" s="4">
        <f t="shared" si="2"/>
        <v>20.35236019845982</v>
      </c>
      <c r="D104" s="4">
        <f t="shared" si="3"/>
        <v>-5.5523601984598194</v>
      </c>
    </row>
    <row r="105" spans="1:4" x14ac:dyDescent="0.25">
      <c r="A105" s="2">
        <v>187.9</v>
      </c>
      <c r="B105" s="2">
        <v>14.7</v>
      </c>
      <c r="C105" s="4">
        <f t="shared" si="2"/>
        <v>15.964728286492106</v>
      </c>
      <c r="D105" s="4">
        <f t="shared" si="3"/>
        <v>-1.2647282864921063</v>
      </c>
    </row>
    <row r="106" spans="1:4" x14ac:dyDescent="0.25">
      <c r="A106" s="2">
        <v>238.2</v>
      </c>
      <c r="B106" s="2">
        <v>20.7</v>
      </c>
      <c r="C106" s="4">
        <f t="shared" si="2"/>
        <v>18.355821300272993</v>
      </c>
      <c r="D106" s="4">
        <f t="shared" si="3"/>
        <v>2.3441786997270064</v>
      </c>
    </row>
    <row r="107" spans="1:4" x14ac:dyDescent="0.25">
      <c r="A107" s="2">
        <v>137.9</v>
      </c>
      <c r="B107" s="2">
        <v>19.2</v>
      </c>
      <c r="C107" s="4">
        <f t="shared" si="2"/>
        <v>13.58789626484112</v>
      </c>
      <c r="D107" s="4">
        <f t="shared" si="3"/>
        <v>5.6121037351588789</v>
      </c>
    </row>
    <row r="108" spans="1:4" x14ac:dyDescent="0.25">
      <c r="A108" s="2">
        <v>25</v>
      </c>
      <c r="B108" s="2">
        <v>7.2</v>
      </c>
      <c r="C108" s="4">
        <f t="shared" si="2"/>
        <v>8.2210095599531972</v>
      </c>
      <c r="D108" s="4">
        <f t="shared" si="3"/>
        <v>-1.021009559953197</v>
      </c>
    </row>
    <row r="109" spans="1:4" x14ac:dyDescent="0.25">
      <c r="A109" s="2">
        <v>90.4</v>
      </c>
      <c r="B109" s="2">
        <v>8.6999999999999993</v>
      </c>
      <c r="C109" s="4">
        <f t="shared" si="2"/>
        <v>11.329905844272686</v>
      </c>
      <c r="D109" s="4">
        <f t="shared" si="3"/>
        <v>-2.6299058442726864</v>
      </c>
    </row>
    <row r="110" spans="1:4" x14ac:dyDescent="0.25">
      <c r="A110" s="2">
        <v>13.1</v>
      </c>
      <c r="B110" s="2">
        <v>5.3</v>
      </c>
      <c r="C110" s="4">
        <f t="shared" si="2"/>
        <v>7.6553235388002632</v>
      </c>
      <c r="D110" s="4">
        <f t="shared" si="3"/>
        <v>-2.3553235388002633</v>
      </c>
    </row>
    <row r="111" spans="1:4" x14ac:dyDescent="0.25">
      <c r="A111" s="2">
        <v>255.4</v>
      </c>
      <c r="B111" s="2">
        <v>19.8</v>
      </c>
      <c r="C111" s="4">
        <f t="shared" si="2"/>
        <v>19.173451515720934</v>
      </c>
      <c r="D111" s="4">
        <f t="shared" si="3"/>
        <v>0.62654848427906629</v>
      </c>
    </row>
    <row r="112" spans="1:4" x14ac:dyDescent="0.25">
      <c r="A112" s="2">
        <v>225.8</v>
      </c>
      <c r="B112" s="2">
        <v>13.4</v>
      </c>
      <c r="C112" s="4">
        <f t="shared" si="2"/>
        <v>17.766366958903554</v>
      </c>
      <c r="D112" s="4">
        <f t="shared" si="3"/>
        <v>-4.3663669589035532</v>
      </c>
    </row>
    <row r="113" spans="1:4" x14ac:dyDescent="0.25">
      <c r="A113" s="2">
        <v>241.7</v>
      </c>
      <c r="B113" s="2">
        <v>21.8</v>
      </c>
      <c r="C113" s="4">
        <f t="shared" si="2"/>
        <v>18.522199541788563</v>
      </c>
      <c r="D113" s="4">
        <f t="shared" si="3"/>
        <v>3.2778004582114377</v>
      </c>
    </row>
    <row r="114" spans="1:4" x14ac:dyDescent="0.25">
      <c r="A114" s="2">
        <v>175.7</v>
      </c>
      <c r="B114" s="2">
        <v>14.1</v>
      </c>
      <c r="C114" s="4">
        <f t="shared" si="2"/>
        <v>15.384781273209263</v>
      </c>
      <c r="D114" s="4">
        <f t="shared" si="3"/>
        <v>-1.2847812732092638</v>
      </c>
    </row>
    <row r="115" spans="1:4" x14ac:dyDescent="0.25">
      <c r="A115" s="2">
        <v>209.6</v>
      </c>
      <c r="B115" s="2">
        <v>15.9</v>
      </c>
      <c r="C115" s="4">
        <f t="shared" si="2"/>
        <v>16.996273383888632</v>
      </c>
      <c r="D115" s="4">
        <f t="shared" si="3"/>
        <v>-1.0962733838886312</v>
      </c>
    </row>
    <row r="116" spans="1:4" x14ac:dyDescent="0.25">
      <c r="A116" s="2">
        <v>78.2</v>
      </c>
      <c r="B116" s="2">
        <v>14.6</v>
      </c>
      <c r="C116" s="4">
        <f t="shared" si="2"/>
        <v>10.749958830989845</v>
      </c>
      <c r="D116" s="4">
        <f t="shared" si="3"/>
        <v>3.8500411690101544</v>
      </c>
    </row>
    <row r="117" spans="1:4" x14ac:dyDescent="0.25">
      <c r="A117" s="2">
        <v>75.099999999999994</v>
      </c>
      <c r="B117" s="2">
        <v>12.6</v>
      </c>
      <c r="C117" s="4">
        <f t="shared" si="2"/>
        <v>10.602595245647484</v>
      </c>
      <c r="D117" s="4">
        <f t="shared" si="3"/>
        <v>1.997404754352516</v>
      </c>
    </row>
    <row r="118" spans="1:4" x14ac:dyDescent="0.25">
      <c r="A118" s="2">
        <v>139.19999999999999</v>
      </c>
      <c r="B118" s="2">
        <v>12.2</v>
      </c>
      <c r="C118" s="4">
        <f t="shared" si="2"/>
        <v>13.649693897404045</v>
      </c>
      <c r="D118" s="4">
        <f t="shared" si="3"/>
        <v>-1.4496938974040461</v>
      </c>
    </row>
    <row r="119" spans="1:4" x14ac:dyDescent="0.25">
      <c r="A119" s="2">
        <v>76.400000000000006</v>
      </c>
      <c r="B119" s="2">
        <v>9.4</v>
      </c>
      <c r="C119" s="4">
        <f t="shared" si="2"/>
        <v>10.66439287821041</v>
      </c>
      <c r="D119" s="4">
        <f t="shared" si="3"/>
        <v>-1.2643928782104101</v>
      </c>
    </row>
    <row r="120" spans="1:4" x14ac:dyDescent="0.25">
      <c r="A120" s="2">
        <v>125.7</v>
      </c>
      <c r="B120" s="2">
        <v>15.9</v>
      </c>
      <c r="C120" s="4">
        <f t="shared" si="2"/>
        <v>13.00794925155828</v>
      </c>
      <c r="D120" s="4">
        <f t="shared" si="3"/>
        <v>2.8920507484417204</v>
      </c>
    </row>
    <row r="121" spans="1:4" x14ac:dyDescent="0.25">
      <c r="A121" s="2">
        <v>19.399999999999999</v>
      </c>
      <c r="B121" s="2">
        <v>6.6</v>
      </c>
      <c r="C121" s="4">
        <f t="shared" si="2"/>
        <v>7.9548043735282876</v>
      </c>
      <c r="D121" s="4">
        <f t="shared" si="3"/>
        <v>-1.354804373528288</v>
      </c>
    </row>
    <row r="122" spans="1:4" x14ac:dyDescent="0.25">
      <c r="A122" s="2">
        <v>141.30000000000001</v>
      </c>
      <c r="B122" s="2">
        <v>15.5</v>
      </c>
      <c r="C122" s="4">
        <f t="shared" si="2"/>
        <v>13.749520842313387</v>
      </c>
      <c r="D122" s="4">
        <f t="shared" si="3"/>
        <v>1.7504791576866126</v>
      </c>
    </row>
    <row r="123" spans="1:4" x14ac:dyDescent="0.25">
      <c r="A123" s="2">
        <v>18.8</v>
      </c>
      <c r="B123" s="2">
        <v>7</v>
      </c>
      <c r="C123" s="4">
        <f t="shared" si="2"/>
        <v>7.9262823892684757</v>
      </c>
      <c r="D123" s="4">
        <f t="shared" si="3"/>
        <v>-0.92628238926847573</v>
      </c>
    </row>
    <row r="124" spans="1:4" x14ac:dyDescent="0.25">
      <c r="A124" s="2">
        <v>224</v>
      </c>
      <c r="B124" s="2">
        <v>11.6</v>
      </c>
      <c r="C124" s="4">
        <f t="shared" si="2"/>
        <v>17.680801006124113</v>
      </c>
      <c r="D124" s="4">
        <f t="shared" si="3"/>
        <v>-6.0808010061241138</v>
      </c>
    </row>
    <row r="125" spans="1:4" x14ac:dyDescent="0.25">
      <c r="A125" s="2">
        <v>123.1</v>
      </c>
      <c r="B125" s="2">
        <v>15.2</v>
      </c>
      <c r="C125" s="4">
        <f t="shared" si="2"/>
        <v>12.88435398643243</v>
      </c>
      <c r="D125" s="4">
        <f t="shared" si="3"/>
        <v>2.3156460135675694</v>
      </c>
    </row>
    <row r="126" spans="1:4" x14ac:dyDescent="0.25">
      <c r="A126" s="2">
        <v>229.5</v>
      </c>
      <c r="B126" s="2">
        <v>19.7</v>
      </c>
      <c r="C126" s="4">
        <f t="shared" si="2"/>
        <v>17.942252528505726</v>
      </c>
      <c r="D126" s="4">
        <f t="shared" si="3"/>
        <v>1.7577474714942731</v>
      </c>
    </row>
    <row r="127" spans="1:4" x14ac:dyDescent="0.25">
      <c r="A127" s="2">
        <v>87.2</v>
      </c>
      <c r="B127" s="2">
        <v>10.6</v>
      </c>
      <c r="C127" s="4">
        <f t="shared" si="2"/>
        <v>11.177788594887023</v>
      </c>
      <c r="D127" s="4">
        <f t="shared" si="3"/>
        <v>-0.57778859488702317</v>
      </c>
    </row>
    <row r="128" spans="1:4" x14ac:dyDescent="0.25">
      <c r="A128" s="2">
        <v>7.8</v>
      </c>
      <c r="B128" s="2">
        <v>6.6</v>
      </c>
      <c r="C128" s="4">
        <f t="shared" si="2"/>
        <v>7.4033793445052591</v>
      </c>
      <c r="D128" s="4">
        <f t="shared" si="3"/>
        <v>-0.8033793445052595</v>
      </c>
    </row>
    <row r="129" spans="1:4" x14ac:dyDescent="0.25">
      <c r="A129" s="2">
        <v>80.2</v>
      </c>
      <c r="B129" s="2">
        <v>8.8000000000000007</v>
      </c>
      <c r="C129" s="4">
        <f t="shared" si="2"/>
        <v>10.845032111855884</v>
      </c>
      <c r="D129" s="4">
        <f t="shared" si="3"/>
        <v>-2.0450321118558836</v>
      </c>
    </row>
    <row r="130" spans="1:4" x14ac:dyDescent="0.25">
      <c r="A130" s="2">
        <v>220.3</v>
      </c>
      <c r="B130" s="2">
        <v>24.7</v>
      </c>
      <c r="C130" s="4">
        <f t="shared" si="2"/>
        <v>17.504915436521941</v>
      </c>
      <c r="D130" s="4">
        <f t="shared" si="3"/>
        <v>7.1950845634780585</v>
      </c>
    </row>
    <row r="131" spans="1:4" x14ac:dyDescent="0.25">
      <c r="A131" s="2">
        <v>59.6</v>
      </c>
      <c r="B131" s="2">
        <v>9.6999999999999993</v>
      </c>
      <c r="C131" s="4">
        <f t="shared" ref="C131:C194" si="4">$B$209 + ($B$210*A131)</f>
        <v>9.8657773189356792</v>
      </c>
      <c r="D131" s="4">
        <f t="shared" ref="D131:D194" si="5">B131-C131</f>
        <v>-0.16577731893567993</v>
      </c>
    </row>
    <row r="132" spans="1:4" x14ac:dyDescent="0.25">
      <c r="A132" s="2">
        <v>0.7</v>
      </c>
      <c r="B132" s="2">
        <v>1.6</v>
      </c>
      <c r="C132" s="4">
        <f t="shared" si="4"/>
        <v>7.0658691974308194</v>
      </c>
      <c r="D132" s="4">
        <f t="shared" si="5"/>
        <v>-5.4658691974308198</v>
      </c>
    </row>
    <row r="133" spans="1:4" x14ac:dyDescent="0.25">
      <c r="A133" s="2">
        <v>265.2</v>
      </c>
      <c r="B133" s="2">
        <v>12.7</v>
      </c>
      <c r="C133" s="4">
        <f t="shared" si="4"/>
        <v>19.639310591964524</v>
      </c>
      <c r="D133" s="4">
        <f t="shared" si="5"/>
        <v>-6.9393105919645244</v>
      </c>
    </row>
    <row r="134" spans="1:4" x14ac:dyDescent="0.25">
      <c r="A134" s="2">
        <v>8.4</v>
      </c>
      <c r="B134" s="2">
        <v>5.7</v>
      </c>
      <c r="C134" s="4">
        <f t="shared" si="4"/>
        <v>7.431901328765071</v>
      </c>
      <c r="D134" s="4">
        <f t="shared" si="5"/>
        <v>-1.7319013287650709</v>
      </c>
    </row>
    <row r="135" spans="1:4" x14ac:dyDescent="0.25">
      <c r="A135" s="2">
        <v>219.8</v>
      </c>
      <c r="B135" s="2">
        <v>19.600000000000001</v>
      </c>
      <c r="C135" s="4">
        <f t="shared" si="4"/>
        <v>17.481147116305433</v>
      </c>
      <c r="D135" s="4">
        <f t="shared" si="5"/>
        <v>2.1188528836945686</v>
      </c>
    </row>
    <row r="136" spans="1:4" x14ac:dyDescent="0.25">
      <c r="A136" s="2">
        <v>36.9</v>
      </c>
      <c r="B136" s="2">
        <v>10.8</v>
      </c>
      <c r="C136" s="4">
        <f t="shared" si="4"/>
        <v>8.786695581106132</v>
      </c>
      <c r="D136" s="4">
        <f t="shared" si="5"/>
        <v>2.0133044188938687</v>
      </c>
    </row>
    <row r="137" spans="1:4" x14ac:dyDescent="0.25">
      <c r="A137" s="2">
        <v>48.3</v>
      </c>
      <c r="B137" s="2">
        <v>11.6</v>
      </c>
      <c r="C137" s="4">
        <f t="shared" si="4"/>
        <v>9.3286132820425571</v>
      </c>
      <c r="D137" s="4">
        <f t="shared" si="5"/>
        <v>2.2713867179574425</v>
      </c>
    </row>
    <row r="138" spans="1:4" x14ac:dyDescent="0.25">
      <c r="A138" s="2">
        <v>25.6</v>
      </c>
      <c r="B138" s="2">
        <v>9.5</v>
      </c>
      <c r="C138" s="4">
        <f t="shared" si="4"/>
        <v>8.2495315442130099</v>
      </c>
      <c r="D138" s="4">
        <f t="shared" si="5"/>
        <v>1.2504684557869901</v>
      </c>
    </row>
    <row r="139" spans="1:4" x14ac:dyDescent="0.25">
      <c r="A139" s="2">
        <v>273.7</v>
      </c>
      <c r="B139" s="2">
        <v>20.8</v>
      </c>
      <c r="C139" s="4">
        <f t="shared" si="4"/>
        <v>20.043372035645191</v>
      </c>
      <c r="D139" s="4">
        <f t="shared" si="5"/>
        <v>0.75662796435480928</v>
      </c>
    </row>
    <row r="140" spans="1:4" x14ac:dyDescent="0.25">
      <c r="A140" s="2">
        <v>43</v>
      </c>
      <c r="B140" s="2">
        <v>9.6</v>
      </c>
      <c r="C140" s="4">
        <f t="shared" si="4"/>
        <v>9.0766690877475522</v>
      </c>
      <c r="D140" s="4">
        <f t="shared" si="5"/>
        <v>0.52333091225244743</v>
      </c>
    </row>
    <row r="141" spans="1:4" x14ac:dyDescent="0.25">
      <c r="A141" s="2">
        <v>184.9</v>
      </c>
      <c r="B141" s="2">
        <v>20.7</v>
      </c>
      <c r="C141" s="4">
        <f t="shared" si="4"/>
        <v>15.822118365193045</v>
      </c>
      <c r="D141" s="4">
        <f t="shared" si="5"/>
        <v>4.877881634806954</v>
      </c>
    </row>
    <row r="142" spans="1:4" x14ac:dyDescent="0.25">
      <c r="A142" s="2">
        <v>73.400000000000006</v>
      </c>
      <c r="B142" s="2">
        <v>10.9</v>
      </c>
      <c r="C142" s="4">
        <f t="shared" si="4"/>
        <v>10.52178295691135</v>
      </c>
      <c r="D142" s="4">
        <f t="shared" si="5"/>
        <v>0.37821704308865023</v>
      </c>
    </row>
    <row r="143" spans="1:4" x14ac:dyDescent="0.25">
      <c r="A143" s="2">
        <v>193.7</v>
      </c>
      <c r="B143" s="2">
        <v>19.2</v>
      </c>
      <c r="C143" s="4">
        <f t="shared" si="4"/>
        <v>16.240440801003619</v>
      </c>
      <c r="D143" s="4">
        <f t="shared" si="5"/>
        <v>2.9595591989963808</v>
      </c>
    </row>
    <row r="144" spans="1:4" x14ac:dyDescent="0.25">
      <c r="A144" s="2">
        <v>220.5</v>
      </c>
      <c r="B144" s="2">
        <v>20.100000000000001</v>
      </c>
      <c r="C144" s="4">
        <f t="shared" si="4"/>
        <v>17.514422764608547</v>
      </c>
      <c r="D144" s="4">
        <f t="shared" si="5"/>
        <v>2.5855772353914546</v>
      </c>
    </row>
    <row r="145" spans="1:4" x14ac:dyDescent="0.25">
      <c r="A145" s="2">
        <v>104.6</v>
      </c>
      <c r="B145" s="2">
        <v>10.4</v>
      </c>
      <c r="C145" s="4">
        <f t="shared" si="4"/>
        <v>12.004926138421563</v>
      </c>
      <c r="D145" s="4">
        <f t="shared" si="5"/>
        <v>-1.604926138421563</v>
      </c>
    </row>
    <row r="146" spans="1:4" x14ac:dyDescent="0.25">
      <c r="A146" s="2">
        <v>96.2</v>
      </c>
      <c r="B146" s="2">
        <v>11.4</v>
      </c>
      <c r="C146" s="4">
        <f t="shared" si="4"/>
        <v>11.605618358784199</v>
      </c>
      <c r="D146" s="4">
        <f t="shared" si="5"/>
        <v>-0.20561835878419821</v>
      </c>
    </row>
    <row r="147" spans="1:4" x14ac:dyDescent="0.25">
      <c r="A147" s="2">
        <v>140.30000000000001</v>
      </c>
      <c r="B147" s="2">
        <v>10.3</v>
      </c>
      <c r="C147" s="4">
        <f t="shared" si="4"/>
        <v>13.701984201880368</v>
      </c>
      <c r="D147" s="4">
        <f t="shared" si="5"/>
        <v>-3.4019842018803672</v>
      </c>
    </row>
    <row r="148" spans="1:4" x14ac:dyDescent="0.25">
      <c r="A148" s="2">
        <v>240.1</v>
      </c>
      <c r="B148" s="2">
        <v>13.2</v>
      </c>
      <c r="C148" s="4">
        <f t="shared" si="4"/>
        <v>18.446140917095732</v>
      </c>
      <c r="D148" s="4">
        <f t="shared" si="5"/>
        <v>-5.2461409170957332</v>
      </c>
    </row>
    <row r="149" spans="1:4" x14ac:dyDescent="0.25">
      <c r="A149" s="2">
        <v>243.2</v>
      </c>
      <c r="B149" s="2">
        <v>25.4</v>
      </c>
      <c r="C149" s="4">
        <f t="shared" si="4"/>
        <v>18.593504502438094</v>
      </c>
      <c r="D149" s="4">
        <f t="shared" si="5"/>
        <v>6.8064954975619045</v>
      </c>
    </row>
    <row r="150" spans="1:4" x14ac:dyDescent="0.25">
      <c r="A150" s="2">
        <v>38</v>
      </c>
      <c r="B150" s="2">
        <v>10.9</v>
      </c>
      <c r="C150" s="4">
        <f t="shared" si="4"/>
        <v>8.8389858855824528</v>
      </c>
      <c r="D150" s="4">
        <f t="shared" si="5"/>
        <v>2.0610141144175476</v>
      </c>
    </row>
    <row r="151" spans="1:4" x14ac:dyDescent="0.25">
      <c r="A151" s="2">
        <v>44.7</v>
      </c>
      <c r="B151" s="2">
        <v>10.1</v>
      </c>
      <c r="C151" s="4">
        <f t="shared" si="4"/>
        <v>9.1574813764836858</v>
      </c>
      <c r="D151" s="4">
        <f t="shared" si="5"/>
        <v>0.94251862351631388</v>
      </c>
    </row>
    <row r="152" spans="1:4" x14ac:dyDescent="0.25">
      <c r="A152" s="2">
        <v>280.7</v>
      </c>
      <c r="B152" s="2">
        <v>16.100000000000001</v>
      </c>
      <c r="C152" s="4">
        <f t="shared" si="4"/>
        <v>20.376128518676332</v>
      </c>
      <c r="D152" s="4">
        <f t="shared" si="5"/>
        <v>-4.2761285186763303</v>
      </c>
    </row>
    <row r="153" spans="1:4" x14ac:dyDescent="0.25">
      <c r="A153" s="2">
        <v>121</v>
      </c>
      <c r="B153" s="2">
        <v>11.6</v>
      </c>
      <c r="C153" s="4">
        <f t="shared" si="4"/>
        <v>12.784527041523088</v>
      </c>
      <c r="D153" s="4">
        <f t="shared" si="5"/>
        <v>-1.1845270415230882</v>
      </c>
    </row>
    <row r="154" spans="1:4" x14ac:dyDescent="0.25">
      <c r="A154" s="2">
        <v>197.6</v>
      </c>
      <c r="B154" s="2">
        <v>16.600000000000001</v>
      </c>
      <c r="C154" s="4">
        <f t="shared" si="4"/>
        <v>16.425833698692394</v>
      </c>
      <c r="D154" s="4">
        <f t="shared" si="5"/>
        <v>0.1741663013076078</v>
      </c>
    </row>
    <row r="155" spans="1:4" x14ac:dyDescent="0.25">
      <c r="A155" s="2">
        <v>171.3</v>
      </c>
      <c r="B155" s="2">
        <v>19</v>
      </c>
      <c r="C155" s="4">
        <f t="shared" si="4"/>
        <v>15.175620055303979</v>
      </c>
      <c r="D155" s="4">
        <f t="shared" si="5"/>
        <v>3.8243799446960214</v>
      </c>
    </row>
    <row r="156" spans="1:4" x14ac:dyDescent="0.25">
      <c r="A156" s="2">
        <v>187.8</v>
      </c>
      <c r="B156" s="2">
        <v>15.6</v>
      </c>
      <c r="C156" s="4">
        <f t="shared" si="4"/>
        <v>15.959974622448803</v>
      </c>
      <c r="D156" s="4">
        <f t="shared" si="5"/>
        <v>-0.35997462244880296</v>
      </c>
    </row>
    <row r="157" spans="1:4" x14ac:dyDescent="0.25">
      <c r="A157" s="2">
        <v>4.0999999999999996</v>
      </c>
      <c r="B157" s="2">
        <v>3.2</v>
      </c>
      <c r="C157" s="4">
        <f t="shared" si="4"/>
        <v>7.2274937749030865</v>
      </c>
      <c r="D157" s="4">
        <f t="shared" si="5"/>
        <v>-4.0274937749030864</v>
      </c>
    </row>
    <row r="158" spans="1:4" x14ac:dyDescent="0.25">
      <c r="A158" s="2">
        <v>93.9</v>
      </c>
      <c r="B158" s="2">
        <v>15.3</v>
      </c>
      <c r="C158" s="4">
        <f t="shared" si="4"/>
        <v>11.496284085788254</v>
      </c>
      <c r="D158" s="4">
        <f t="shared" si="5"/>
        <v>3.8037159142117467</v>
      </c>
    </row>
    <row r="159" spans="1:4" x14ac:dyDescent="0.25">
      <c r="A159" s="2">
        <v>149.80000000000001</v>
      </c>
      <c r="B159" s="2">
        <v>10.1</v>
      </c>
      <c r="C159" s="4">
        <f t="shared" si="4"/>
        <v>14.153582285994055</v>
      </c>
      <c r="D159" s="4">
        <f t="shared" si="5"/>
        <v>-4.0535822859940556</v>
      </c>
    </row>
    <row r="160" spans="1:4" x14ac:dyDescent="0.25">
      <c r="A160" s="2">
        <v>11.7</v>
      </c>
      <c r="B160" s="2">
        <v>7.3</v>
      </c>
      <c r="C160" s="4">
        <f t="shared" si="4"/>
        <v>7.588772242194036</v>
      </c>
      <c r="D160" s="4">
        <f t="shared" si="5"/>
        <v>-0.28877224219403619</v>
      </c>
    </row>
    <row r="161" spans="1:4" x14ac:dyDescent="0.25">
      <c r="A161" s="2">
        <v>131.69999999999999</v>
      </c>
      <c r="B161" s="2">
        <v>12.9</v>
      </c>
      <c r="C161" s="4">
        <f t="shared" si="4"/>
        <v>13.293169094156397</v>
      </c>
      <c r="D161" s="4">
        <f t="shared" si="5"/>
        <v>-0.39316909415639678</v>
      </c>
    </row>
    <row r="162" spans="1:4" x14ac:dyDescent="0.25">
      <c r="A162" s="2">
        <v>172.5</v>
      </c>
      <c r="B162" s="2">
        <v>14.4</v>
      </c>
      <c r="C162" s="4">
        <f t="shared" si="4"/>
        <v>15.232664023823601</v>
      </c>
      <c r="D162" s="4">
        <f t="shared" si="5"/>
        <v>-0.83266402382360027</v>
      </c>
    </row>
    <row r="163" spans="1:4" x14ac:dyDescent="0.25">
      <c r="A163" s="2">
        <v>85.7</v>
      </c>
      <c r="B163" s="2">
        <v>13.3</v>
      </c>
      <c r="C163" s="4">
        <f t="shared" si="4"/>
        <v>11.106483634237492</v>
      </c>
      <c r="D163" s="4">
        <f t="shared" si="5"/>
        <v>2.193516365762509</v>
      </c>
    </row>
    <row r="164" spans="1:4" x14ac:dyDescent="0.25">
      <c r="A164" s="2">
        <v>188.4</v>
      </c>
      <c r="B164" s="2">
        <v>14.9</v>
      </c>
      <c r="C164" s="4">
        <f t="shared" si="4"/>
        <v>15.988496606708615</v>
      </c>
      <c r="D164" s="4">
        <f t="shared" si="5"/>
        <v>-1.088496606708615</v>
      </c>
    </row>
    <row r="165" spans="1:4" x14ac:dyDescent="0.25">
      <c r="A165" s="2">
        <v>163.5</v>
      </c>
      <c r="B165" s="2">
        <v>18</v>
      </c>
      <c r="C165" s="4">
        <f t="shared" si="4"/>
        <v>14.804834259926423</v>
      </c>
      <c r="D165" s="4">
        <f t="shared" si="5"/>
        <v>3.1951657400735769</v>
      </c>
    </row>
    <row r="166" spans="1:4" x14ac:dyDescent="0.25">
      <c r="A166" s="2">
        <v>117.2</v>
      </c>
      <c r="B166" s="2">
        <v>11.9</v>
      </c>
      <c r="C166" s="4">
        <f t="shared" si="4"/>
        <v>12.603887807877612</v>
      </c>
      <c r="D166" s="4">
        <f t="shared" si="5"/>
        <v>-0.70388780787761185</v>
      </c>
    </row>
    <row r="167" spans="1:4" x14ac:dyDescent="0.25">
      <c r="A167" s="2">
        <v>234.5</v>
      </c>
      <c r="B167" s="2">
        <v>11.9</v>
      </c>
      <c r="C167" s="4">
        <f t="shared" si="4"/>
        <v>18.17993573067082</v>
      </c>
      <c r="D167" s="4">
        <f t="shared" si="5"/>
        <v>-6.2799357306708199</v>
      </c>
    </row>
    <row r="168" spans="1:4" x14ac:dyDescent="0.25">
      <c r="A168" s="2">
        <v>17.899999999999999</v>
      </c>
      <c r="B168" s="2">
        <v>8</v>
      </c>
      <c r="C168" s="4">
        <f t="shared" si="4"/>
        <v>7.8834994128787574</v>
      </c>
      <c r="D168" s="4">
        <f t="shared" si="5"/>
        <v>0.11650058712124256</v>
      </c>
    </row>
    <row r="169" spans="1:4" x14ac:dyDescent="0.25">
      <c r="A169" s="2">
        <v>206.8</v>
      </c>
      <c r="B169" s="2">
        <v>12.2</v>
      </c>
      <c r="C169" s="4">
        <f t="shared" si="4"/>
        <v>16.863170790676179</v>
      </c>
      <c r="D169" s="4">
        <f t="shared" si="5"/>
        <v>-4.6631707906761797</v>
      </c>
    </row>
    <row r="170" spans="1:4" x14ac:dyDescent="0.25">
      <c r="A170" s="2">
        <v>215.4</v>
      </c>
      <c r="B170" s="2">
        <v>17.100000000000001</v>
      </c>
      <c r="C170" s="4">
        <f t="shared" si="4"/>
        <v>17.271985898400146</v>
      </c>
      <c r="D170" s="4">
        <f t="shared" si="5"/>
        <v>-0.17198589840014478</v>
      </c>
    </row>
    <row r="171" spans="1:4" x14ac:dyDescent="0.25">
      <c r="A171" s="2">
        <v>284.3</v>
      </c>
      <c r="B171" s="2">
        <v>15</v>
      </c>
      <c r="C171" s="4">
        <f t="shared" si="4"/>
        <v>20.547260424235205</v>
      </c>
      <c r="D171" s="4">
        <f t="shared" si="5"/>
        <v>-5.5472604242352048</v>
      </c>
    </row>
    <row r="172" spans="1:4" x14ac:dyDescent="0.25">
      <c r="A172" s="2">
        <v>50</v>
      </c>
      <c r="B172" s="2">
        <v>8.4</v>
      </c>
      <c r="C172" s="4">
        <f t="shared" si="4"/>
        <v>9.4094255707786907</v>
      </c>
      <c r="D172" s="4">
        <f t="shared" si="5"/>
        <v>-1.0094255707786903</v>
      </c>
    </row>
    <row r="173" spans="1:4" x14ac:dyDescent="0.25">
      <c r="A173" s="2">
        <v>164.5</v>
      </c>
      <c r="B173" s="2">
        <v>14.5</v>
      </c>
      <c r="C173" s="4">
        <f t="shared" si="4"/>
        <v>14.852370900359444</v>
      </c>
      <c r="D173" s="4">
        <f t="shared" si="5"/>
        <v>-0.35237090035944441</v>
      </c>
    </row>
    <row r="174" spans="1:4" x14ac:dyDescent="0.25">
      <c r="A174" s="2">
        <v>19.600000000000001</v>
      </c>
      <c r="B174" s="2">
        <v>7.6</v>
      </c>
      <c r="C174" s="4">
        <f t="shared" si="4"/>
        <v>7.964311701614891</v>
      </c>
      <c r="D174" s="4">
        <f t="shared" si="5"/>
        <v>-0.36431170161489135</v>
      </c>
    </row>
    <row r="175" spans="1:4" x14ac:dyDescent="0.25">
      <c r="A175" s="2">
        <v>168.4</v>
      </c>
      <c r="B175" s="2">
        <v>11.7</v>
      </c>
      <c r="C175" s="4">
        <f t="shared" si="4"/>
        <v>15.037763798048221</v>
      </c>
      <c r="D175" s="4">
        <f t="shared" si="5"/>
        <v>-3.337763798048222</v>
      </c>
    </row>
    <row r="176" spans="1:4" x14ac:dyDescent="0.25">
      <c r="A176" s="2">
        <v>222.4</v>
      </c>
      <c r="B176" s="2">
        <v>11.5</v>
      </c>
      <c r="C176" s="4">
        <f t="shared" si="4"/>
        <v>17.604742381431286</v>
      </c>
      <c r="D176" s="4">
        <f t="shared" si="5"/>
        <v>-6.1047423814312864</v>
      </c>
    </row>
    <row r="177" spans="1:4" x14ac:dyDescent="0.25">
      <c r="A177" s="2">
        <v>276.89999999999998</v>
      </c>
      <c r="B177" s="2">
        <v>27</v>
      </c>
      <c r="C177" s="4">
        <f t="shared" si="4"/>
        <v>20.195489285030856</v>
      </c>
      <c r="D177" s="4">
        <f t="shared" si="5"/>
        <v>6.8045107149691439</v>
      </c>
    </row>
    <row r="178" spans="1:4" x14ac:dyDescent="0.25">
      <c r="A178" s="2">
        <v>248.4</v>
      </c>
      <c r="B178" s="2">
        <v>20.2</v>
      </c>
      <c r="C178" s="4">
        <f t="shared" si="4"/>
        <v>18.840695032689794</v>
      </c>
      <c r="D178" s="4">
        <f t="shared" si="5"/>
        <v>1.3593049673102051</v>
      </c>
    </row>
    <row r="179" spans="1:4" x14ac:dyDescent="0.25">
      <c r="A179" s="2">
        <v>170.2</v>
      </c>
      <c r="B179" s="2">
        <v>11.7</v>
      </c>
      <c r="C179" s="4">
        <f t="shared" si="4"/>
        <v>15.123329750827656</v>
      </c>
      <c r="D179" s="4">
        <f t="shared" si="5"/>
        <v>-3.4233297508276568</v>
      </c>
    </row>
    <row r="180" spans="1:4" x14ac:dyDescent="0.25">
      <c r="A180" s="2">
        <v>276.7</v>
      </c>
      <c r="B180" s="2">
        <v>11.8</v>
      </c>
      <c r="C180" s="4">
        <f t="shared" si="4"/>
        <v>20.185981956944254</v>
      </c>
      <c r="D180" s="4">
        <f t="shared" si="5"/>
        <v>-8.3859819569442529</v>
      </c>
    </row>
    <row r="181" spans="1:4" x14ac:dyDescent="0.25">
      <c r="A181" s="2">
        <v>165.6</v>
      </c>
      <c r="B181" s="2">
        <v>12.6</v>
      </c>
      <c r="C181" s="4">
        <f t="shared" si="4"/>
        <v>14.904661204835765</v>
      </c>
      <c r="D181" s="4">
        <f t="shared" si="5"/>
        <v>-2.3046612048357655</v>
      </c>
    </row>
    <row r="182" spans="1:4" x14ac:dyDescent="0.25">
      <c r="A182" s="2">
        <v>156.6</v>
      </c>
      <c r="B182" s="2">
        <v>10.5</v>
      </c>
      <c r="C182" s="4">
        <f t="shared" si="4"/>
        <v>14.476831440938589</v>
      </c>
      <c r="D182" s="4">
        <f t="shared" si="5"/>
        <v>-3.9768314409385894</v>
      </c>
    </row>
    <row r="183" spans="1:4" x14ac:dyDescent="0.25">
      <c r="A183" s="2">
        <v>218.5</v>
      </c>
      <c r="B183" s="2">
        <v>12.2</v>
      </c>
      <c r="C183" s="4">
        <f t="shared" si="4"/>
        <v>17.419349483742508</v>
      </c>
      <c r="D183" s="4">
        <f t="shared" si="5"/>
        <v>-5.2193494837425085</v>
      </c>
    </row>
    <row r="184" spans="1:4" x14ac:dyDescent="0.25">
      <c r="A184" s="2">
        <v>56.2</v>
      </c>
      <c r="B184" s="2">
        <v>8.6999999999999993</v>
      </c>
      <c r="C184" s="4">
        <f t="shared" si="4"/>
        <v>9.7041527414634121</v>
      </c>
      <c r="D184" s="4">
        <f t="shared" si="5"/>
        <v>-1.0041527414634128</v>
      </c>
    </row>
    <row r="185" spans="1:4" x14ac:dyDescent="0.25">
      <c r="A185" s="2">
        <v>287.60000000000002</v>
      </c>
      <c r="B185" s="2">
        <v>26.2</v>
      </c>
      <c r="C185" s="4">
        <f t="shared" si="4"/>
        <v>20.704131337664169</v>
      </c>
      <c r="D185" s="4">
        <f t="shared" si="5"/>
        <v>5.4958686623358304</v>
      </c>
    </row>
    <row r="186" spans="1:4" x14ac:dyDescent="0.25">
      <c r="A186" s="2">
        <v>253.8</v>
      </c>
      <c r="B186" s="2">
        <v>17.600000000000001</v>
      </c>
      <c r="C186" s="4">
        <f t="shared" si="4"/>
        <v>19.0973928910281</v>
      </c>
      <c r="D186" s="4">
        <f t="shared" si="5"/>
        <v>-1.4973928910280989</v>
      </c>
    </row>
    <row r="187" spans="1:4" x14ac:dyDescent="0.25">
      <c r="A187" s="2">
        <v>205</v>
      </c>
      <c r="B187" s="2">
        <v>22.6</v>
      </c>
      <c r="C187" s="4">
        <f t="shared" si="4"/>
        <v>16.777604837896739</v>
      </c>
      <c r="D187" s="4">
        <f t="shared" si="5"/>
        <v>5.8223951621032626</v>
      </c>
    </row>
    <row r="188" spans="1:4" x14ac:dyDescent="0.25">
      <c r="A188" s="2">
        <v>139.5</v>
      </c>
      <c r="B188" s="2">
        <v>10.3</v>
      </c>
      <c r="C188" s="4">
        <f t="shared" si="4"/>
        <v>13.663954889533951</v>
      </c>
      <c r="D188" s="4">
        <f t="shared" si="5"/>
        <v>-3.3639548895339502</v>
      </c>
    </row>
    <row r="189" spans="1:4" x14ac:dyDescent="0.25">
      <c r="A189" s="2">
        <v>191.1</v>
      </c>
      <c r="B189" s="2">
        <v>17.3</v>
      </c>
      <c r="C189" s="4">
        <f t="shared" si="4"/>
        <v>16.116845535877765</v>
      </c>
      <c r="D189" s="4">
        <f t="shared" si="5"/>
        <v>1.1831544641222358</v>
      </c>
    </row>
    <row r="190" spans="1:4" x14ac:dyDescent="0.25">
      <c r="A190" s="2">
        <v>286</v>
      </c>
      <c r="B190" s="2">
        <v>15.9</v>
      </c>
      <c r="C190" s="4">
        <f t="shared" si="4"/>
        <v>20.628072712971338</v>
      </c>
      <c r="D190" s="4">
        <f t="shared" si="5"/>
        <v>-4.728072712971338</v>
      </c>
    </row>
    <row r="191" spans="1:4" x14ac:dyDescent="0.25">
      <c r="A191" s="2">
        <v>18.7</v>
      </c>
      <c r="B191" s="2">
        <v>6.7</v>
      </c>
      <c r="C191" s="4">
        <f t="shared" si="4"/>
        <v>7.9215287252251736</v>
      </c>
      <c r="D191" s="4">
        <f t="shared" si="5"/>
        <v>-1.2215287252251734</v>
      </c>
    </row>
    <row r="192" spans="1:4" x14ac:dyDescent="0.25">
      <c r="A192" s="2">
        <v>39.5</v>
      </c>
      <c r="B192" s="2">
        <v>10.8</v>
      </c>
      <c r="C192" s="4">
        <f t="shared" si="4"/>
        <v>8.9102908462319839</v>
      </c>
      <c r="D192" s="4">
        <f t="shared" si="5"/>
        <v>1.8897091537680168</v>
      </c>
    </row>
    <row r="193" spans="1:4" x14ac:dyDescent="0.25">
      <c r="A193" s="2">
        <v>75.5</v>
      </c>
      <c r="B193" s="2">
        <v>9.9</v>
      </c>
      <c r="C193" s="4">
        <f t="shared" si="4"/>
        <v>10.621609901820692</v>
      </c>
      <c r="D193" s="4">
        <f t="shared" si="5"/>
        <v>-0.72160990182069185</v>
      </c>
    </row>
    <row r="194" spans="1:4" x14ac:dyDescent="0.25">
      <c r="A194" s="2">
        <v>17.2</v>
      </c>
      <c r="B194" s="2">
        <v>5.9</v>
      </c>
      <c r="C194" s="4">
        <f t="shared" si="4"/>
        <v>7.8502237645756443</v>
      </c>
      <c r="D194" s="4">
        <f t="shared" si="5"/>
        <v>-1.9502237645756439</v>
      </c>
    </row>
    <row r="195" spans="1:4" x14ac:dyDescent="0.25">
      <c r="A195" s="2">
        <v>166.8</v>
      </c>
      <c r="B195" s="2">
        <v>19.600000000000001</v>
      </c>
      <c r="C195" s="4">
        <f t="shared" ref="C195:C201" si="6">$B$209 + ($B$210*A195)</f>
        <v>14.961705173355391</v>
      </c>
      <c r="D195" s="4">
        <f t="shared" ref="D195:D201" si="7">B195-C195</f>
        <v>4.6382948266446107</v>
      </c>
    </row>
    <row r="196" spans="1:4" x14ac:dyDescent="0.25">
      <c r="A196" s="2">
        <v>149.69999999999999</v>
      </c>
      <c r="B196" s="2">
        <v>17.3</v>
      </c>
      <c r="C196" s="4">
        <f t="shared" si="6"/>
        <v>14.148828621950752</v>
      </c>
      <c r="D196" s="4">
        <f t="shared" si="7"/>
        <v>3.1511713780492485</v>
      </c>
    </row>
    <row r="197" spans="1:4" x14ac:dyDescent="0.25">
      <c r="A197" s="2">
        <v>38.200000000000003</v>
      </c>
      <c r="B197" s="2">
        <v>7.6</v>
      </c>
      <c r="C197" s="4">
        <f t="shared" si="6"/>
        <v>8.8484932136690571</v>
      </c>
      <c r="D197" s="4">
        <f t="shared" si="7"/>
        <v>-1.2484932136690574</v>
      </c>
    </row>
    <row r="198" spans="1:4" x14ac:dyDescent="0.25">
      <c r="A198" s="2">
        <v>94.2</v>
      </c>
      <c r="B198" s="2">
        <v>9.6999999999999993</v>
      </c>
      <c r="C198" s="4">
        <f t="shared" si="6"/>
        <v>11.51054507791816</v>
      </c>
      <c r="D198" s="4">
        <f t="shared" si="7"/>
        <v>-1.8105450779181602</v>
      </c>
    </row>
    <row r="199" spans="1:4" x14ac:dyDescent="0.25">
      <c r="A199" s="2">
        <v>177</v>
      </c>
      <c r="B199" s="2">
        <v>12.8</v>
      </c>
      <c r="C199" s="4">
        <f t="shared" si="6"/>
        <v>15.44657890577219</v>
      </c>
      <c r="D199" s="4">
        <f t="shared" si="7"/>
        <v>-2.6465789057721896</v>
      </c>
    </row>
    <row r="200" spans="1:4" x14ac:dyDescent="0.25">
      <c r="A200" s="2">
        <v>283.60000000000002</v>
      </c>
      <c r="B200" s="2">
        <v>25.5</v>
      </c>
      <c r="C200" s="4">
        <f t="shared" si="6"/>
        <v>20.513984775932087</v>
      </c>
      <c r="D200" s="4">
        <f t="shared" si="7"/>
        <v>4.9860152240679128</v>
      </c>
    </row>
    <row r="201" spans="1:4" x14ac:dyDescent="0.25">
      <c r="A201" s="2">
        <v>232.1</v>
      </c>
      <c r="B201" s="2">
        <v>13.4</v>
      </c>
      <c r="C201" s="4">
        <f t="shared" si="6"/>
        <v>18.065847793631576</v>
      </c>
      <c r="D201" s="4">
        <f t="shared" si="7"/>
        <v>-4.6658477936315759</v>
      </c>
    </row>
    <row r="204" spans="1:4" x14ac:dyDescent="0.25">
      <c r="A204" s="2" t="s">
        <v>4</v>
      </c>
      <c r="B204" s="2">
        <f>STDEV(A2:A201)</f>
        <v>85.854236314908121</v>
      </c>
    </row>
    <row r="205" spans="1:4" x14ac:dyDescent="0.25">
      <c r="A205" s="2" t="s">
        <v>5</v>
      </c>
      <c r="B205" s="2">
        <f>STDEV(B2:B202)</f>
        <v>5.2174565657104752</v>
      </c>
    </row>
    <row r="206" spans="1:4" x14ac:dyDescent="0.25">
      <c r="A206" s="2" t="s">
        <v>6</v>
      </c>
      <c r="B206" s="2">
        <f>_xlfn.COVARIANCE.S(A2:A201, B2:B201)</f>
        <v>350.39019472361798</v>
      </c>
    </row>
    <row r="207" spans="1:4" x14ac:dyDescent="0.25">
      <c r="A207" s="2" t="s">
        <v>7</v>
      </c>
      <c r="B207" s="2">
        <f>CORREL(A2:A201, B2:B201)</f>
        <v>0.78222442486160615</v>
      </c>
    </row>
    <row r="208" spans="1:4" x14ac:dyDescent="0.25">
      <c r="A208" s="2" t="s">
        <v>8</v>
      </c>
      <c r="B208" s="2">
        <f>POWER(B207,2)</f>
        <v>0.61187505085007055</v>
      </c>
    </row>
    <row r="209" spans="1:2" x14ac:dyDescent="0.25">
      <c r="A209" s="2" t="s">
        <v>9</v>
      </c>
      <c r="B209" s="2">
        <f>INTERCEPT(B2:B201, A2:A201)</f>
        <v>7.0325935491277054</v>
      </c>
    </row>
    <row r="210" spans="1:2" x14ac:dyDescent="0.25">
      <c r="A210" s="2" t="s">
        <v>10</v>
      </c>
      <c r="B210" s="2">
        <f>SLOPE(B2:B201, A2:A201)</f>
        <v>4.7536640433019688E-2</v>
      </c>
    </row>
    <row r="212" spans="1:2" x14ac:dyDescent="0.25">
      <c r="A212" s="2" t="s">
        <v>11</v>
      </c>
      <c r="B212" s="2">
        <f>AVERAGE(A2:A201)</f>
        <v>147.04249999999999</v>
      </c>
    </row>
    <row r="213" spans="1:2" x14ac:dyDescent="0.25">
      <c r="A213" s="2" t="s">
        <v>12</v>
      </c>
      <c r="B213" s="2">
        <f>AVERAGE(B2:B201)</f>
        <v>14.022500000000003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CE61-BDAF-4DD9-BC6D-324AF1F05DC1}">
  <dimension ref="A1"/>
  <sheetViews>
    <sheetView workbookViewId="0">
      <selection activeCell="G15" sqref="G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FCCC-86DF-4958-B1FF-8CD731E7BE2E}">
  <dimension ref="A1"/>
  <sheetViews>
    <sheetView workbookViewId="0">
      <selection activeCell="V14" sqref="V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06F7-D256-4A16-937C-24CD0827BF70}">
  <dimension ref="A1:N201"/>
  <sheetViews>
    <sheetView tabSelected="1" workbookViewId="0">
      <selection activeCell="J29" sqref="J29"/>
    </sheetView>
  </sheetViews>
  <sheetFormatPr defaultRowHeight="15" x14ac:dyDescent="0.25"/>
  <cols>
    <col min="1" max="1" width="16.7109375" customWidth="1"/>
    <col min="2" max="2" width="21" customWidth="1"/>
  </cols>
  <sheetData>
    <row r="1" spans="1:14" ht="30" x14ac:dyDescent="0.25">
      <c r="A1" s="17" t="s">
        <v>0</v>
      </c>
      <c r="B1" s="17" t="s">
        <v>1</v>
      </c>
    </row>
    <row r="2" spans="1:14" x14ac:dyDescent="0.25">
      <c r="A2" s="18">
        <v>230.1</v>
      </c>
      <c r="B2" s="19">
        <v>22.1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4" x14ac:dyDescent="0.25">
      <c r="A3" s="20">
        <v>44.5</v>
      </c>
      <c r="B3" s="21">
        <v>10.4</v>
      </c>
      <c r="D3" s="15" t="s">
        <v>13</v>
      </c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5">
      <c r="A4" s="20">
        <v>17.2</v>
      </c>
      <c r="B4" s="21">
        <v>9.3000000000000007</v>
      </c>
    </row>
    <row r="5" spans="1:14" x14ac:dyDescent="0.25">
      <c r="A5" s="20">
        <v>151.5</v>
      </c>
      <c r="B5" s="21">
        <v>18.5</v>
      </c>
    </row>
    <row r="6" spans="1:14" x14ac:dyDescent="0.25">
      <c r="A6" s="20">
        <v>180.8</v>
      </c>
      <c r="B6" s="21">
        <v>12.9</v>
      </c>
    </row>
    <row r="7" spans="1:14" x14ac:dyDescent="0.25">
      <c r="A7" s="20">
        <v>8.6999999999999993</v>
      </c>
      <c r="B7" s="21">
        <v>7.2</v>
      </c>
    </row>
    <row r="8" spans="1:14" x14ac:dyDescent="0.25">
      <c r="A8" s="20">
        <v>57.5</v>
      </c>
      <c r="B8" s="21">
        <v>11.8</v>
      </c>
    </row>
    <row r="9" spans="1:14" x14ac:dyDescent="0.25">
      <c r="A9" s="20">
        <v>120.2</v>
      </c>
      <c r="B9" s="21">
        <v>13.2</v>
      </c>
    </row>
    <row r="10" spans="1:14" x14ac:dyDescent="0.25">
      <c r="A10" s="20">
        <v>8.6</v>
      </c>
      <c r="B10" s="21">
        <v>4.8</v>
      </c>
    </row>
    <row r="11" spans="1:14" x14ac:dyDescent="0.25">
      <c r="A11" s="20">
        <v>199.8</v>
      </c>
      <c r="B11" s="21">
        <v>10.6</v>
      </c>
    </row>
    <row r="12" spans="1:14" x14ac:dyDescent="0.25">
      <c r="A12" s="20">
        <v>66.099999999999994</v>
      </c>
      <c r="B12" s="21">
        <v>8.6</v>
      </c>
    </row>
    <row r="13" spans="1:14" x14ac:dyDescent="0.25">
      <c r="A13" s="20">
        <v>214.7</v>
      </c>
      <c r="B13" s="21">
        <v>17.399999999999999</v>
      </c>
    </row>
    <row r="14" spans="1:14" x14ac:dyDescent="0.25">
      <c r="A14" s="20">
        <v>23.8</v>
      </c>
      <c r="B14" s="21">
        <v>9.1999999999999993</v>
      </c>
    </row>
    <row r="15" spans="1:14" x14ac:dyDescent="0.25">
      <c r="A15" s="20">
        <v>97.5</v>
      </c>
      <c r="B15" s="21">
        <v>9.6999999999999993</v>
      </c>
    </row>
    <row r="16" spans="1:14" x14ac:dyDescent="0.25">
      <c r="A16" s="20">
        <v>204.1</v>
      </c>
      <c r="B16" s="21">
        <v>19</v>
      </c>
    </row>
    <row r="17" spans="1:2" x14ac:dyDescent="0.25">
      <c r="A17" s="20">
        <v>195.4</v>
      </c>
      <c r="B17" s="21">
        <v>22.4</v>
      </c>
    </row>
    <row r="18" spans="1:2" x14ac:dyDescent="0.25">
      <c r="A18" s="20">
        <v>67.8</v>
      </c>
      <c r="B18" s="21">
        <v>12.5</v>
      </c>
    </row>
    <row r="19" spans="1:2" x14ac:dyDescent="0.25">
      <c r="A19" s="20">
        <v>281.39999999999998</v>
      </c>
      <c r="B19" s="21">
        <v>24.4</v>
      </c>
    </row>
    <row r="20" spans="1:2" x14ac:dyDescent="0.25">
      <c r="A20" s="20">
        <v>69.2</v>
      </c>
      <c r="B20" s="21">
        <v>11.3</v>
      </c>
    </row>
    <row r="21" spans="1:2" x14ac:dyDescent="0.25">
      <c r="A21" s="20">
        <v>147.30000000000001</v>
      </c>
      <c r="B21" s="21">
        <v>14.6</v>
      </c>
    </row>
    <row r="22" spans="1:2" x14ac:dyDescent="0.25">
      <c r="A22" s="20">
        <v>218.4</v>
      </c>
      <c r="B22" s="21">
        <v>18</v>
      </c>
    </row>
    <row r="23" spans="1:2" x14ac:dyDescent="0.25">
      <c r="A23" s="20">
        <v>237.4</v>
      </c>
      <c r="B23" s="21">
        <v>12.5</v>
      </c>
    </row>
    <row r="24" spans="1:2" x14ac:dyDescent="0.25">
      <c r="A24" s="20">
        <v>13.2</v>
      </c>
      <c r="B24" s="21">
        <v>5.6</v>
      </c>
    </row>
    <row r="25" spans="1:2" x14ac:dyDescent="0.25">
      <c r="A25" s="20">
        <v>228.3</v>
      </c>
      <c r="B25" s="21">
        <v>15.5</v>
      </c>
    </row>
    <row r="26" spans="1:2" x14ac:dyDescent="0.25">
      <c r="A26" s="20">
        <v>62.3</v>
      </c>
      <c r="B26" s="21">
        <v>9.6999999999999993</v>
      </c>
    </row>
    <row r="27" spans="1:2" x14ac:dyDescent="0.25">
      <c r="A27" s="20">
        <v>262.89999999999998</v>
      </c>
      <c r="B27" s="21">
        <v>12</v>
      </c>
    </row>
    <row r="28" spans="1:2" x14ac:dyDescent="0.25">
      <c r="A28" s="20">
        <v>142.9</v>
      </c>
      <c r="B28" s="21">
        <v>15</v>
      </c>
    </row>
    <row r="29" spans="1:2" x14ac:dyDescent="0.25">
      <c r="A29" s="20">
        <v>240.1</v>
      </c>
      <c r="B29" s="21">
        <v>15.9</v>
      </c>
    </row>
    <row r="30" spans="1:2" x14ac:dyDescent="0.25">
      <c r="A30" s="20">
        <v>248.8</v>
      </c>
      <c r="B30" s="21">
        <v>18.899999999999999</v>
      </c>
    </row>
    <row r="31" spans="1:2" x14ac:dyDescent="0.25">
      <c r="A31" s="20">
        <v>70.599999999999994</v>
      </c>
      <c r="B31" s="21">
        <v>10.5</v>
      </c>
    </row>
    <row r="32" spans="1:2" x14ac:dyDescent="0.25">
      <c r="A32" s="20">
        <v>292.89999999999998</v>
      </c>
      <c r="B32" s="21">
        <v>21.4</v>
      </c>
    </row>
    <row r="33" spans="1:2" x14ac:dyDescent="0.25">
      <c r="A33" s="20">
        <v>112.9</v>
      </c>
      <c r="B33" s="21">
        <v>11.9</v>
      </c>
    </row>
    <row r="34" spans="1:2" x14ac:dyDescent="0.25">
      <c r="A34" s="20">
        <v>97.2</v>
      </c>
      <c r="B34" s="21">
        <v>9.6</v>
      </c>
    </row>
    <row r="35" spans="1:2" x14ac:dyDescent="0.25">
      <c r="A35" s="20">
        <v>265.60000000000002</v>
      </c>
      <c r="B35" s="21">
        <v>17.399999999999999</v>
      </c>
    </row>
    <row r="36" spans="1:2" x14ac:dyDescent="0.25">
      <c r="A36" s="20">
        <v>95.7</v>
      </c>
      <c r="B36" s="21">
        <v>9.5</v>
      </c>
    </row>
    <row r="37" spans="1:2" x14ac:dyDescent="0.25">
      <c r="A37" s="20">
        <v>290.7</v>
      </c>
      <c r="B37" s="21">
        <v>12.8</v>
      </c>
    </row>
    <row r="38" spans="1:2" x14ac:dyDescent="0.25">
      <c r="A38" s="20">
        <v>266.89999999999998</v>
      </c>
      <c r="B38" s="21">
        <v>25.4</v>
      </c>
    </row>
    <row r="39" spans="1:2" x14ac:dyDescent="0.25">
      <c r="A39" s="20">
        <v>74.7</v>
      </c>
      <c r="B39" s="21">
        <v>14.7</v>
      </c>
    </row>
    <row r="40" spans="1:2" x14ac:dyDescent="0.25">
      <c r="A40" s="20">
        <v>43.1</v>
      </c>
      <c r="B40" s="21">
        <v>10.1</v>
      </c>
    </row>
    <row r="41" spans="1:2" x14ac:dyDescent="0.25">
      <c r="A41" s="20">
        <v>228</v>
      </c>
      <c r="B41" s="21">
        <v>21.5</v>
      </c>
    </row>
    <row r="42" spans="1:2" x14ac:dyDescent="0.25">
      <c r="A42" s="20">
        <v>202.5</v>
      </c>
      <c r="B42" s="21">
        <v>16.600000000000001</v>
      </c>
    </row>
    <row r="43" spans="1:2" x14ac:dyDescent="0.25">
      <c r="A43" s="20">
        <v>177</v>
      </c>
      <c r="B43" s="21">
        <v>17.100000000000001</v>
      </c>
    </row>
    <row r="44" spans="1:2" x14ac:dyDescent="0.25">
      <c r="A44" s="20">
        <v>293.60000000000002</v>
      </c>
      <c r="B44" s="21">
        <v>20.7</v>
      </c>
    </row>
    <row r="45" spans="1:2" x14ac:dyDescent="0.25">
      <c r="A45" s="20">
        <v>206.9</v>
      </c>
      <c r="B45" s="21">
        <v>12.9</v>
      </c>
    </row>
    <row r="46" spans="1:2" x14ac:dyDescent="0.25">
      <c r="A46" s="20">
        <v>25.1</v>
      </c>
      <c r="B46" s="21">
        <v>8.5</v>
      </c>
    </row>
    <row r="47" spans="1:2" x14ac:dyDescent="0.25">
      <c r="A47" s="20">
        <v>175.1</v>
      </c>
      <c r="B47" s="21">
        <v>14.9</v>
      </c>
    </row>
    <row r="48" spans="1:2" x14ac:dyDescent="0.25">
      <c r="A48" s="20">
        <v>89.7</v>
      </c>
      <c r="B48" s="21">
        <v>10.6</v>
      </c>
    </row>
    <row r="49" spans="1:2" x14ac:dyDescent="0.25">
      <c r="A49" s="20">
        <v>239.9</v>
      </c>
      <c r="B49" s="21">
        <v>23.2</v>
      </c>
    </row>
    <row r="50" spans="1:2" x14ac:dyDescent="0.25">
      <c r="A50" s="20">
        <v>227.2</v>
      </c>
      <c r="B50" s="21">
        <v>14.8</v>
      </c>
    </row>
    <row r="51" spans="1:2" x14ac:dyDescent="0.25">
      <c r="A51" s="20">
        <v>66.900000000000006</v>
      </c>
      <c r="B51" s="21">
        <v>9.6999999999999993</v>
      </c>
    </row>
    <row r="52" spans="1:2" x14ac:dyDescent="0.25">
      <c r="A52" s="20">
        <v>199.8</v>
      </c>
      <c r="B52" s="21">
        <v>11.4</v>
      </c>
    </row>
    <row r="53" spans="1:2" x14ac:dyDescent="0.25">
      <c r="A53" s="20">
        <v>100.4</v>
      </c>
      <c r="B53" s="21">
        <v>10.7</v>
      </c>
    </row>
    <row r="54" spans="1:2" x14ac:dyDescent="0.25">
      <c r="A54" s="20">
        <v>216.4</v>
      </c>
      <c r="B54" s="21">
        <v>22.6</v>
      </c>
    </row>
    <row r="55" spans="1:2" x14ac:dyDescent="0.25">
      <c r="A55" s="20">
        <v>182.6</v>
      </c>
      <c r="B55" s="21">
        <v>21.2</v>
      </c>
    </row>
    <row r="56" spans="1:2" x14ac:dyDescent="0.25">
      <c r="A56" s="20">
        <v>262.7</v>
      </c>
      <c r="B56" s="21">
        <v>20.2</v>
      </c>
    </row>
    <row r="57" spans="1:2" x14ac:dyDescent="0.25">
      <c r="A57" s="20">
        <v>198.9</v>
      </c>
      <c r="B57" s="21">
        <v>23.7</v>
      </c>
    </row>
    <row r="58" spans="1:2" x14ac:dyDescent="0.25">
      <c r="A58" s="20">
        <v>7.3</v>
      </c>
      <c r="B58" s="21">
        <v>5.5</v>
      </c>
    </row>
    <row r="59" spans="1:2" x14ac:dyDescent="0.25">
      <c r="A59" s="20">
        <v>136.19999999999999</v>
      </c>
      <c r="B59" s="21">
        <v>13.2</v>
      </c>
    </row>
    <row r="60" spans="1:2" x14ac:dyDescent="0.25">
      <c r="A60" s="20">
        <v>210.8</v>
      </c>
      <c r="B60" s="21">
        <v>23.8</v>
      </c>
    </row>
    <row r="61" spans="1:2" x14ac:dyDescent="0.25">
      <c r="A61" s="20">
        <v>210.7</v>
      </c>
      <c r="B61" s="21">
        <v>18.399999999999999</v>
      </c>
    </row>
    <row r="62" spans="1:2" x14ac:dyDescent="0.25">
      <c r="A62" s="20">
        <v>53.5</v>
      </c>
      <c r="B62" s="21">
        <v>8.1</v>
      </c>
    </row>
    <row r="63" spans="1:2" x14ac:dyDescent="0.25">
      <c r="A63" s="20">
        <v>261.3</v>
      </c>
      <c r="B63" s="21">
        <v>24.2</v>
      </c>
    </row>
    <row r="64" spans="1:2" x14ac:dyDescent="0.25">
      <c r="A64" s="20">
        <v>239.3</v>
      </c>
      <c r="B64" s="21">
        <v>15.7</v>
      </c>
    </row>
    <row r="65" spans="1:2" x14ac:dyDescent="0.25">
      <c r="A65" s="20">
        <v>102.7</v>
      </c>
      <c r="B65" s="21">
        <v>14</v>
      </c>
    </row>
    <row r="66" spans="1:2" x14ac:dyDescent="0.25">
      <c r="A66" s="20">
        <v>131.1</v>
      </c>
      <c r="B66" s="21">
        <v>18</v>
      </c>
    </row>
    <row r="67" spans="1:2" x14ac:dyDescent="0.25">
      <c r="A67" s="20">
        <v>69</v>
      </c>
      <c r="B67" s="21">
        <v>9.3000000000000007</v>
      </c>
    </row>
    <row r="68" spans="1:2" x14ac:dyDescent="0.25">
      <c r="A68" s="20">
        <v>31.5</v>
      </c>
      <c r="B68" s="21">
        <v>9.5</v>
      </c>
    </row>
    <row r="69" spans="1:2" x14ac:dyDescent="0.25">
      <c r="A69" s="20">
        <v>139.30000000000001</v>
      </c>
      <c r="B69" s="21">
        <v>13.4</v>
      </c>
    </row>
    <row r="70" spans="1:2" x14ac:dyDescent="0.25">
      <c r="A70" s="20">
        <v>237.4</v>
      </c>
      <c r="B70" s="21">
        <v>18.899999999999999</v>
      </c>
    </row>
    <row r="71" spans="1:2" x14ac:dyDescent="0.25">
      <c r="A71" s="20">
        <v>216.8</v>
      </c>
      <c r="B71" s="21">
        <v>22.3</v>
      </c>
    </row>
    <row r="72" spans="1:2" x14ac:dyDescent="0.25">
      <c r="A72" s="20">
        <v>199.1</v>
      </c>
      <c r="B72" s="21">
        <v>18.3</v>
      </c>
    </row>
    <row r="73" spans="1:2" x14ac:dyDescent="0.25">
      <c r="A73" s="20">
        <v>109.8</v>
      </c>
      <c r="B73" s="21">
        <v>12.4</v>
      </c>
    </row>
    <row r="74" spans="1:2" x14ac:dyDescent="0.25">
      <c r="A74" s="20">
        <v>26.8</v>
      </c>
      <c r="B74" s="21">
        <v>8.8000000000000007</v>
      </c>
    </row>
    <row r="75" spans="1:2" x14ac:dyDescent="0.25">
      <c r="A75" s="20">
        <v>129.4</v>
      </c>
      <c r="B75" s="21">
        <v>11</v>
      </c>
    </row>
    <row r="76" spans="1:2" x14ac:dyDescent="0.25">
      <c r="A76" s="20">
        <v>213.4</v>
      </c>
      <c r="B76" s="21">
        <v>17</v>
      </c>
    </row>
    <row r="77" spans="1:2" x14ac:dyDescent="0.25">
      <c r="A77" s="20">
        <v>16.899999999999999</v>
      </c>
      <c r="B77" s="21">
        <v>8.6999999999999993</v>
      </c>
    </row>
    <row r="78" spans="1:2" x14ac:dyDescent="0.25">
      <c r="A78" s="20">
        <v>27.5</v>
      </c>
      <c r="B78" s="21">
        <v>6.9</v>
      </c>
    </row>
    <row r="79" spans="1:2" x14ac:dyDescent="0.25">
      <c r="A79" s="20">
        <v>120.5</v>
      </c>
      <c r="B79" s="21">
        <v>14.2</v>
      </c>
    </row>
    <row r="80" spans="1:2" x14ac:dyDescent="0.25">
      <c r="A80" s="20">
        <v>5.4</v>
      </c>
      <c r="B80" s="21">
        <v>5.3</v>
      </c>
    </row>
    <row r="81" spans="1:2" x14ac:dyDescent="0.25">
      <c r="A81" s="20">
        <v>116</v>
      </c>
      <c r="B81" s="21">
        <v>11</v>
      </c>
    </row>
    <row r="82" spans="1:2" x14ac:dyDescent="0.25">
      <c r="A82" s="20">
        <v>76.400000000000006</v>
      </c>
      <c r="B82" s="21">
        <v>11.8</v>
      </c>
    </row>
    <row r="83" spans="1:2" x14ac:dyDescent="0.25">
      <c r="A83" s="20">
        <v>239.8</v>
      </c>
      <c r="B83" s="21">
        <v>12.3</v>
      </c>
    </row>
    <row r="84" spans="1:2" x14ac:dyDescent="0.25">
      <c r="A84" s="20">
        <v>75.3</v>
      </c>
      <c r="B84" s="21">
        <v>11.3</v>
      </c>
    </row>
    <row r="85" spans="1:2" x14ac:dyDescent="0.25">
      <c r="A85" s="20">
        <v>68.400000000000006</v>
      </c>
      <c r="B85" s="21">
        <v>13.6</v>
      </c>
    </row>
    <row r="86" spans="1:2" x14ac:dyDescent="0.25">
      <c r="A86" s="20">
        <v>213.5</v>
      </c>
      <c r="B86" s="21">
        <v>21.7</v>
      </c>
    </row>
    <row r="87" spans="1:2" x14ac:dyDescent="0.25">
      <c r="A87" s="20">
        <v>193.2</v>
      </c>
      <c r="B87" s="21">
        <v>15.2</v>
      </c>
    </row>
    <row r="88" spans="1:2" x14ac:dyDescent="0.25">
      <c r="A88" s="20">
        <v>76.3</v>
      </c>
      <c r="B88" s="21">
        <v>12</v>
      </c>
    </row>
    <row r="89" spans="1:2" x14ac:dyDescent="0.25">
      <c r="A89" s="20">
        <v>110.7</v>
      </c>
      <c r="B89" s="21">
        <v>16</v>
      </c>
    </row>
    <row r="90" spans="1:2" x14ac:dyDescent="0.25">
      <c r="A90" s="20">
        <v>88.3</v>
      </c>
      <c r="B90" s="21">
        <v>12.9</v>
      </c>
    </row>
    <row r="91" spans="1:2" x14ac:dyDescent="0.25">
      <c r="A91" s="20">
        <v>109.8</v>
      </c>
      <c r="B91" s="21">
        <v>16.7</v>
      </c>
    </row>
    <row r="92" spans="1:2" x14ac:dyDescent="0.25">
      <c r="A92" s="20">
        <v>134.30000000000001</v>
      </c>
      <c r="B92" s="21">
        <v>11.2</v>
      </c>
    </row>
    <row r="93" spans="1:2" x14ac:dyDescent="0.25">
      <c r="A93" s="20">
        <v>28.6</v>
      </c>
      <c r="B93" s="21">
        <v>7.3</v>
      </c>
    </row>
    <row r="94" spans="1:2" x14ac:dyDescent="0.25">
      <c r="A94" s="20">
        <v>217.7</v>
      </c>
      <c r="B94" s="21">
        <v>19.399999999999999</v>
      </c>
    </row>
    <row r="95" spans="1:2" x14ac:dyDescent="0.25">
      <c r="A95" s="20">
        <v>250.9</v>
      </c>
      <c r="B95" s="21">
        <v>22.2</v>
      </c>
    </row>
    <row r="96" spans="1:2" x14ac:dyDescent="0.25">
      <c r="A96" s="20">
        <v>107.4</v>
      </c>
      <c r="B96" s="21">
        <v>11.5</v>
      </c>
    </row>
    <row r="97" spans="1:2" x14ac:dyDescent="0.25">
      <c r="A97" s="20">
        <v>163.30000000000001</v>
      </c>
      <c r="B97" s="21">
        <v>16.899999999999999</v>
      </c>
    </row>
    <row r="98" spans="1:2" x14ac:dyDescent="0.25">
      <c r="A98" s="20">
        <v>197.6</v>
      </c>
      <c r="B98" s="21">
        <v>11.7</v>
      </c>
    </row>
    <row r="99" spans="1:2" x14ac:dyDescent="0.25">
      <c r="A99" s="20">
        <v>184.9</v>
      </c>
      <c r="B99" s="21">
        <v>15.5</v>
      </c>
    </row>
    <row r="100" spans="1:2" x14ac:dyDescent="0.25">
      <c r="A100" s="20">
        <v>289.7</v>
      </c>
      <c r="B100" s="21">
        <v>25.4</v>
      </c>
    </row>
    <row r="101" spans="1:2" x14ac:dyDescent="0.25">
      <c r="A101" s="20">
        <v>135.19999999999999</v>
      </c>
      <c r="B101" s="21">
        <v>17.2</v>
      </c>
    </row>
    <row r="102" spans="1:2" x14ac:dyDescent="0.25">
      <c r="A102" s="20">
        <v>222.4</v>
      </c>
      <c r="B102" s="21">
        <v>11.7</v>
      </c>
    </row>
    <row r="103" spans="1:2" x14ac:dyDescent="0.25">
      <c r="A103" s="20">
        <v>296.39999999999998</v>
      </c>
      <c r="B103" s="21">
        <v>23.8</v>
      </c>
    </row>
    <row r="104" spans="1:2" x14ac:dyDescent="0.25">
      <c r="A104" s="20">
        <v>280.2</v>
      </c>
      <c r="B104" s="21">
        <v>14.8</v>
      </c>
    </row>
    <row r="105" spans="1:2" x14ac:dyDescent="0.25">
      <c r="A105" s="20">
        <v>187.9</v>
      </c>
      <c r="B105" s="21">
        <v>14.7</v>
      </c>
    </row>
    <row r="106" spans="1:2" x14ac:dyDescent="0.25">
      <c r="A106" s="20">
        <v>238.2</v>
      </c>
      <c r="B106" s="21">
        <v>20.7</v>
      </c>
    </row>
    <row r="107" spans="1:2" x14ac:dyDescent="0.25">
      <c r="A107" s="20">
        <v>137.9</v>
      </c>
      <c r="B107" s="21">
        <v>19.2</v>
      </c>
    </row>
    <row r="108" spans="1:2" x14ac:dyDescent="0.25">
      <c r="A108" s="20">
        <v>25</v>
      </c>
      <c r="B108" s="21">
        <v>7.2</v>
      </c>
    </row>
    <row r="109" spans="1:2" x14ac:dyDescent="0.25">
      <c r="A109" s="20">
        <v>90.4</v>
      </c>
      <c r="B109" s="21">
        <v>8.6999999999999993</v>
      </c>
    </row>
    <row r="110" spans="1:2" x14ac:dyDescent="0.25">
      <c r="A110" s="20">
        <v>13.1</v>
      </c>
      <c r="B110" s="21">
        <v>5.3</v>
      </c>
    </row>
    <row r="111" spans="1:2" x14ac:dyDescent="0.25">
      <c r="A111" s="20">
        <v>255.4</v>
      </c>
      <c r="B111" s="21">
        <v>19.8</v>
      </c>
    </row>
    <row r="112" spans="1:2" x14ac:dyDescent="0.25">
      <c r="A112" s="20">
        <v>225.8</v>
      </c>
      <c r="B112" s="21">
        <v>13.4</v>
      </c>
    </row>
    <row r="113" spans="1:2" x14ac:dyDescent="0.25">
      <c r="A113" s="20">
        <v>241.7</v>
      </c>
      <c r="B113" s="21">
        <v>21.8</v>
      </c>
    </row>
    <row r="114" spans="1:2" x14ac:dyDescent="0.25">
      <c r="A114" s="20">
        <v>175.7</v>
      </c>
      <c r="B114" s="21">
        <v>14.1</v>
      </c>
    </row>
    <row r="115" spans="1:2" x14ac:dyDescent="0.25">
      <c r="A115" s="20">
        <v>209.6</v>
      </c>
      <c r="B115" s="21">
        <v>15.9</v>
      </c>
    </row>
    <row r="116" spans="1:2" x14ac:dyDescent="0.25">
      <c r="A116" s="20">
        <v>78.2</v>
      </c>
      <c r="B116" s="21">
        <v>14.6</v>
      </c>
    </row>
    <row r="117" spans="1:2" x14ac:dyDescent="0.25">
      <c r="A117" s="20">
        <v>75.099999999999994</v>
      </c>
      <c r="B117" s="21">
        <v>12.6</v>
      </c>
    </row>
    <row r="118" spans="1:2" x14ac:dyDescent="0.25">
      <c r="A118" s="20">
        <v>139.19999999999999</v>
      </c>
      <c r="B118" s="21">
        <v>12.2</v>
      </c>
    </row>
    <row r="119" spans="1:2" x14ac:dyDescent="0.25">
      <c r="A119" s="20">
        <v>76.400000000000006</v>
      </c>
      <c r="B119" s="21">
        <v>9.4</v>
      </c>
    </row>
    <row r="120" spans="1:2" x14ac:dyDescent="0.25">
      <c r="A120" s="20">
        <v>125.7</v>
      </c>
      <c r="B120" s="21">
        <v>15.9</v>
      </c>
    </row>
    <row r="121" spans="1:2" x14ac:dyDescent="0.25">
      <c r="A121" s="20">
        <v>19.399999999999999</v>
      </c>
      <c r="B121" s="21">
        <v>6.6</v>
      </c>
    </row>
    <row r="122" spans="1:2" x14ac:dyDescent="0.25">
      <c r="A122" s="20">
        <v>141.30000000000001</v>
      </c>
      <c r="B122" s="21">
        <v>15.5</v>
      </c>
    </row>
    <row r="123" spans="1:2" x14ac:dyDescent="0.25">
      <c r="A123" s="20">
        <v>18.8</v>
      </c>
      <c r="B123" s="21">
        <v>7</v>
      </c>
    </row>
    <row r="124" spans="1:2" x14ac:dyDescent="0.25">
      <c r="A124" s="20">
        <v>224</v>
      </c>
      <c r="B124" s="21">
        <v>11.6</v>
      </c>
    </row>
    <row r="125" spans="1:2" x14ac:dyDescent="0.25">
      <c r="A125" s="20">
        <v>123.1</v>
      </c>
      <c r="B125" s="21">
        <v>15.2</v>
      </c>
    </row>
    <row r="126" spans="1:2" x14ac:dyDescent="0.25">
      <c r="A126" s="20">
        <v>229.5</v>
      </c>
      <c r="B126" s="21">
        <v>19.7</v>
      </c>
    </row>
    <row r="127" spans="1:2" x14ac:dyDescent="0.25">
      <c r="A127" s="20">
        <v>87.2</v>
      </c>
      <c r="B127" s="21">
        <v>10.6</v>
      </c>
    </row>
    <row r="128" spans="1:2" x14ac:dyDescent="0.25">
      <c r="A128" s="20">
        <v>7.8</v>
      </c>
      <c r="B128" s="21">
        <v>6.6</v>
      </c>
    </row>
    <row r="129" spans="1:2" x14ac:dyDescent="0.25">
      <c r="A129" s="20">
        <v>80.2</v>
      </c>
      <c r="B129" s="21">
        <v>8.8000000000000007</v>
      </c>
    </row>
    <row r="130" spans="1:2" x14ac:dyDescent="0.25">
      <c r="A130" s="20">
        <v>220.3</v>
      </c>
      <c r="B130" s="21">
        <v>24.7</v>
      </c>
    </row>
    <row r="131" spans="1:2" x14ac:dyDescent="0.25">
      <c r="A131" s="20">
        <v>59.6</v>
      </c>
      <c r="B131" s="21">
        <v>9.6999999999999993</v>
      </c>
    </row>
    <row r="132" spans="1:2" x14ac:dyDescent="0.25">
      <c r="A132" s="20">
        <v>0.7</v>
      </c>
      <c r="B132" s="21">
        <v>1.6</v>
      </c>
    </row>
    <row r="133" spans="1:2" x14ac:dyDescent="0.25">
      <c r="A133" s="20">
        <v>265.2</v>
      </c>
      <c r="B133" s="21">
        <v>12.7</v>
      </c>
    </row>
    <row r="134" spans="1:2" x14ac:dyDescent="0.25">
      <c r="A134" s="20">
        <v>8.4</v>
      </c>
      <c r="B134" s="21">
        <v>5.7</v>
      </c>
    </row>
    <row r="135" spans="1:2" x14ac:dyDescent="0.25">
      <c r="A135" s="20">
        <v>219.8</v>
      </c>
      <c r="B135" s="21">
        <v>19.600000000000001</v>
      </c>
    </row>
    <row r="136" spans="1:2" x14ac:dyDescent="0.25">
      <c r="A136" s="20">
        <v>36.9</v>
      </c>
      <c r="B136" s="21">
        <v>10.8</v>
      </c>
    </row>
    <row r="137" spans="1:2" x14ac:dyDescent="0.25">
      <c r="A137" s="20">
        <v>48.3</v>
      </c>
      <c r="B137" s="21">
        <v>11.6</v>
      </c>
    </row>
    <row r="138" spans="1:2" x14ac:dyDescent="0.25">
      <c r="A138" s="20">
        <v>25.6</v>
      </c>
      <c r="B138" s="21">
        <v>9.5</v>
      </c>
    </row>
    <row r="139" spans="1:2" x14ac:dyDescent="0.25">
      <c r="A139" s="20">
        <v>273.7</v>
      </c>
      <c r="B139" s="21">
        <v>20.8</v>
      </c>
    </row>
    <row r="140" spans="1:2" x14ac:dyDescent="0.25">
      <c r="A140" s="20">
        <v>43</v>
      </c>
      <c r="B140" s="21">
        <v>9.6</v>
      </c>
    </row>
    <row r="141" spans="1:2" x14ac:dyDescent="0.25">
      <c r="A141" s="20">
        <v>184.9</v>
      </c>
      <c r="B141" s="21">
        <v>20.7</v>
      </c>
    </row>
    <row r="142" spans="1:2" x14ac:dyDescent="0.25">
      <c r="A142" s="20">
        <v>73.400000000000006</v>
      </c>
      <c r="B142" s="21">
        <v>10.9</v>
      </c>
    </row>
    <row r="143" spans="1:2" x14ac:dyDescent="0.25">
      <c r="A143" s="20">
        <v>193.7</v>
      </c>
      <c r="B143" s="21">
        <v>19.2</v>
      </c>
    </row>
    <row r="144" spans="1:2" x14ac:dyDescent="0.25">
      <c r="A144" s="20">
        <v>220.5</v>
      </c>
      <c r="B144" s="21">
        <v>20.100000000000001</v>
      </c>
    </row>
    <row r="145" spans="1:2" x14ac:dyDescent="0.25">
      <c r="A145" s="20">
        <v>104.6</v>
      </c>
      <c r="B145" s="21">
        <v>10.4</v>
      </c>
    </row>
    <row r="146" spans="1:2" x14ac:dyDescent="0.25">
      <c r="A146" s="20">
        <v>96.2</v>
      </c>
      <c r="B146" s="21">
        <v>11.4</v>
      </c>
    </row>
    <row r="147" spans="1:2" x14ac:dyDescent="0.25">
      <c r="A147" s="20">
        <v>140.30000000000001</v>
      </c>
      <c r="B147" s="21">
        <v>10.3</v>
      </c>
    </row>
    <row r="148" spans="1:2" x14ac:dyDescent="0.25">
      <c r="A148" s="20">
        <v>240.1</v>
      </c>
      <c r="B148" s="21">
        <v>13.2</v>
      </c>
    </row>
    <row r="149" spans="1:2" x14ac:dyDescent="0.25">
      <c r="A149" s="20">
        <v>243.2</v>
      </c>
      <c r="B149" s="21">
        <v>25.4</v>
      </c>
    </row>
    <row r="150" spans="1:2" x14ac:dyDescent="0.25">
      <c r="A150" s="20">
        <v>38</v>
      </c>
      <c r="B150" s="21">
        <v>10.9</v>
      </c>
    </row>
    <row r="151" spans="1:2" x14ac:dyDescent="0.25">
      <c r="A151" s="20">
        <v>44.7</v>
      </c>
      <c r="B151" s="21">
        <v>10.1</v>
      </c>
    </row>
    <row r="152" spans="1:2" x14ac:dyDescent="0.25">
      <c r="A152" s="20">
        <v>280.7</v>
      </c>
      <c r="B152" s="21">
        <v>16.100000000000001</v>
      </c>
    </row>
    <row r="153" spans="1:2" x14ac:dyDescent="0.25">
      <c r="A153" s="20">
        <v>121</v>
      </c>
      <c r="B153" s="21">
        <v>11.6</v>
      </c>
    </row>
    <row r="154" spans="1:2" x14ac:dyDescent="0.25">
      <c r="A154" s="20">
        <v>197.6</v>
      </c>
      <c r="B154" s="21">
        <v>16.600000000000001</v>
      </c>
    </row>
    <row r="155" spans="1:2" x14ac:dyDescent="0.25">
      <c r="A155" s="20">
        <v>171.3</v>
      </c>
      <c r="B155" s="21">
        <v>19</v>
      </c>
    </row>
    <row r="156" spans="1:2" x14ac:dyDescent="0.25">
      <c r="A156" s="20">
        <v>187.8</v>
      </c>
      <c r="B156" s="21">
        <v>15.6</v>
      </c>
    </row>
    <row r="157" spans="1:2" x14ac:dyDescent="0.25">
      <c r="A157" s="20">
        <v>4.0999999999999996</v>
      </c>
      <c r="B157" s="21">
        <v>3.2</v>
      </c>
    </row>
    <row r="158" spans="1:2" x14ac:dyDescent="0.25">
      <c r="A158" s="20">
        <v>93.9</v>
      </c>
      <c r="B158" s="21">
        <v>15.3</v>
      </c>
    </row>
    <row r="159" spans="1:2" x14ac:dyDescent="0.25">
      <c r="A159" s="20">
        <v>149.80000000000001</v>
      </c>
      <c r="B159" s="21">
        <v>10.1</v>
      </c>
    </row>
    <row r="160" spans="1:2" x14ac:dyDescent="0.25">
      <c r="A160" s="20">
        <v>11.7</v>
      </c>
      <c r="B160" s="21">
        <v>7.3</v>
      </c>
    </row>
    <row r="161" spans="1:2" x14ac:dyDescent="0.25">
      <c r="A161" s="20">
        <v>131.69999999999999</v>
      </c>
      <c r="B161" s="21">
        <v>12.9</v>
      </c>
    </row>
    <row r="162" spans="1:2" x14ac:dyDescent="0.25">
      <c r="A162" s="20">
        <v>172.5</v>
      </c>
      <c r="B162" s="21">
        <v>14.4</v>
      </c>
    </row>
    <row r="163" spans="1:2" x14ac:dyDescent="0.25">
      <c r="A163" s="20">
        <v>85.7</v>
      </c>
      <c r="B163" s="21">
        <v>13.3</v>
      </c>
    </row>
    <row r="164" spans="1:2" x14ac:dyDescent="0.25">
      <c r="A164" s="20">
        <v>188.4</v>
      </c>
      <c r="B164" s="21">
        <v>14.9</v>
      </c>
    </row>
    <row r="165" spans="1:2" x14ac:dyDescent="0.25">
      <c r="A165" s="20">
        <v>163.5</v>
      </c>
      <c r="B165" s="21">
        <v>18</v>
      </c>
    </row>
    <row r="166" spans="1:2" x14ac:dyDescent="0.25">
      <c r="A166" s="20">
        <v>117.2</v>
      </c>
      <c r="B166" s="21">
        <v>11.9</v>
      </c>
    </row>
    <row r="167" spans="1:2" x14ac:dyDescent="0.25">
      <c r="A167" s="20">
        <v>234.5</v>
      </c>
      <c r="B167" s="21">
        <v>11.9</v>
      </c>
    </row>
    <row r="168" spans="1:2" x14ac:dyDescent="0.25">
      <c r="A168" s="20">
        <v>17.899999999999999</v>
      </c>
      <c r="B168" s="21">
        <v>8</v>
      </c>
    </row>
    <row r="169" spans="1:2" x14ac:dyDescent="0.25">
      <c r="A169" s="20">
        <v>206.8</v>
      </c>
      <c r="B169" s="21">
        <v>12.2</v>
      </c>
    </row>
    <row r="170" spans="1:2" x14ac:dyDescent="0.25">
      <c r="A170" s="20">
        <v>215.4</v>
      </c>
      <c r="B170" s="21">
        <v>17.100000000000001</v>
      </c>
    </row>
    <row r="171" spans="1:2" x14ac:dyDescent="0.25">
      <c r="A171" s="20">
        <v>284.3</v>
      </c>
      <c r="B171" s="21">
        <v>15</v>
      </c>
    </row>
    <row r="172" spans="1:2" x14ac:dyDescent="0.25">
      <c r="A172" s="20">
        <v>50</v>
      </c>
      <c r="B172" s="21">
        <v>8.4</v>
      </c>
    </row>
    <row r="173" spans="1:2" x14ac:dyDescent="0.25">
      <c r="A173" s="20">
        <v>164.5</v>
      </c>
      <c r="B173" s="21">
        <v>14.5</v>
      </c>
    </row>
    <row r="174" spans="1:2" x14ac:dyDescent="0.25">
      <c r="A174" s="20">
        <v>19.600000000000001</v>
      </c>
      <c r="B174" s="21">
        <v>7.6</v>
      </c>
    </row>
    <row r="175" spans="1:2" x14ac:dyDescent="0.25">
      <c r="A175" s="20">
        <v>168.4</v>
      </c>
      <c r="B175" s="21">
        <v>11.7</v>
      </c>
    </row>
    <row r="176" spans="1:2" x14ac:dyDescent="0.25">
      <c r="A176" s="20">
        <v>222.4</v>
      </c>
      <c r="B176" s="21">
        <v>11.5</v>
      </c>
    </row>
    <row r="177" spans="1:2" x14ac:dyDescent="0.25">
      <c r="A177" s="20">
        <v>276.89999999999998</v>
      </c>
      <c r="B177" s="21">
        <v>27</v>
      </c>
    </row>
    <row r="178" spans="1:2" x14ac:dyDescent="0.25">
      <c r="A178" s="20">
        <v>248.4</v>
      </c>
      <c r="B178" s="21">
        <v>20.2</v>
      </c>
    </row>
    <row r="179" spans="1:2" x14ac:dyDescent="0.25">
      <c r="A179" s="20">
        <v>170.2</v>
      </c>
      <c r="B179" s="21">
        <v>11.7</v>
      </c>
    </row>
    <row r="180" spans="1:2" x14ac:dyDescent="0.25">
      <c r="A180" s="20">
        <v>276.7</v>
      </c>
      <c r="B180" s="21">
        <v>11.8</v>
      </c>
    </row>
    <row r="181" spans="1:2" x14ac:dyDescent="0.25">
      <c r="A181" s="20">
        <v>165.6</v>
      </c>
      <c r="B181" s="21">
        <v>12.6</v>
      </c>
    </row>
    <row r="182" spans="1:2" x14ac:dyDescent="0.25">
      <c r="A182" s="20">
        <v>156.6</v>
      </c>
      <c r="B182" s="21">
        <v>10.5</v>
      </c>
    </row>
    <row r="183" spans="1:2" x14ac:dyDescent="0.25">
      <c r="A183" s="20">
        <v>218.5</v>
      </c>
      <c r="B183" s="21">
        <v>12.2</v>
      </c>
    </row>
    <row r="184" spans="1:2" x14ac:dyDescent="0.25">
      <c r="A184" s="20">
        <v>56.2</v>
      </c>
      <c r="B184" s="21">
        <v>8.6999999999999993</v>
      </c>
    </row>
    <row r="185" spans="1:2" x14ac:dyDescent="0.25">
      <c r="A185" s="20">
        <v>287.60000000000002</v>
      </c>
      <c r="B185" s="21">
        <v>26.2</v>
      </c>
    </row>
    <row r="186" spans="1:2" x14ac:dyDescent="0.25">
      <c r="A186" s="20">
        <v>253.8</v>
      </c>
      <c r="B186" s="21">
        <v>17.600000000000001</v>
      </c>
    </row>
    <row r="187" spans="1:2" x14ac:dyDescent="0.25">
      <c r="A187" s="20">
        <v>205</v>
      </c>
      <c r="B187" s="21">
        <v>22.6</v>
      </c>
    </row>
    <row r="188" spans="1:2" x14ac:dyDescent="0.25">
      <c r="A188" s="20">
        <v>139.5</v>
      </c>
      <c r="B188" s="21">
        <v>10.3</v>
      </c>
    </row>
    <row r="189" spans="1:2" x14ac:dyDescent="0.25">
      <c r="A189" s="20">
        <v>191.1</v>
      </c>
      <c r="B189" s="21">
        <v>17.3</v>
      </c>
    </row>
    <row r="190" spans="1:2" x14ac:dyDescent="0.25">
      <c r="A190" s="20">
        <v>286</v>
      </c>
      <c r="B190" s="21">
        <v>15.9</v>
      </c>
    </row>
    <row r="191" spans="1:2" x14ac:dyDescent="0.25">
      <c r="A191" s="20">
        <v>18.7</v>
      </c>
      <c r="B191" s="21">
        <v>6.7</v>
      </c>
    </row>
    <row r="192" spans="1:2" x14ac:dyDescent="0.25">
      <c r="A192" s="20">
        <v>39.5</v>
      </c>
      <c r="B192" s="21">
        <v>10.8</v>
      </c>
    </row>
    <row r="193" spans="1:2" x14ac:dyDescent="0.25">
      <c r="A193" s="20">
        <v>75.5</v>
      </c>
      <c r="B193" s="21">
        <v>9.9</v>
      </c>
    </row>
    <row r="194" spans="1:2" x14ac:dyDescent="0.25">
      <c r="A194" s="20">
        <v>17.2</v>
      </c>
      <c r="B194" s="21">
        <v>5.9</v>
      </c>
    </row>
    <row r="195" spans="1:2" x14ac:dyDescent="0.25">
      <c r="A195" s="20">
        <v>166.8</v>
      </c>
      <c r="B195" s="21">
        <v>19.600000000000001</v>
      </c>
    </row>
    <row r="196" spans="1:2" x14ac:dyDescent="0.25">
      <c r="A196" s="20">
        <v>149.69999999999999</v>
      </c>
      <c r="B196" s="21">
        <v>17.3</v>
      </c>
    </row>
    <row r="197" spans="1:2" x14ac:dyDescent="0.25">
      <c r="A197" s="20">
        <v>38.200000000000003</v>
      </c>
      <c r="B197" s="21">
        <v>7.6</v>
      </c>
    </row>
    <row r="198" spans="1:2" x14ac:dyDescent="0.25">
      <c r="A198" s="20">
        <v>94.2</v>
      </c>
      <c r="B198" s="21">
        <v>9.6999999999999993</v>
      </c>
    </row>
    <row r="199" spans="1:2" x14ac:dyDescent="0.25">
      <c r="A199" s="20">
        <v>177</v>
      </c>
      <c r="B199" s="21">
        <v>12.8</v>
      </c>
    </row>
    <row r="200" spans="1:2" x14ac:dyDescent="0.25">
      <c r="A200" s="20">
        <v>283.60000000000002</v>
      </c>
      <c r="B200" s="21">
        <v>25.5</v>
      </c>
    </row>
    <row r="201" spans="1:2" x14ac:dyDescent="0.25">
      <c r="A201" s="22">
        <v>232.1</v>
      </c>
      <c r="B201" s="23">
        <v>13.4</v>
      </c>
    </row>
  </sheetData>
  <mergeCells count="1">
    <mergeCell ref="D3:N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073C-413C-48D2-8952-2322B574011D}">
  <dimension ref="A1:E201"/>
  <sheetViews>
    <sheetView workbookViewId="0">
      <selection activeCell="H11" sqref="H11"/>
    </sheetView>
  </sheetViews>
  <sheetFormatPr defaultRowHeight="15" x14ac:dyDescent="0.25"/>
  <cols>
    <col min="1" max="1" width="22.28515625" customWidth="1"/>
    <col min="2" max="2" width="21.5703125" customWidth="1"/>
    <col min="4" max="4" width="11.5703125" customWidth="1"/>
    <col min="5" max="5" width="19.140625" customWidth="1"/>
  </cols>
  <sheetData>
    <row r="1" spans="1:5" ht="32.25" customHeight="1" x14ac:dyDescent="0.25">
      <c r="A1" s="14" t="s">
        <v>0</v>
      </c>
      <c r="B1" s="14" t="s">
        <v>1</v>
      </c>
    </row>
    <row r="2" spans="1:5" x14ac:dyDescent="0.25">
      <c r="A2" s="11">
        <v>230.1</v>
      </c>
      <c r="B2" s="11">
        <v>22.1</v>
      </c>
      <c r="D2" s="9" t="s">
        <v>14</v>
      </c>
      <c r="E2" s="10">
        <f xml:space="preserve"> CORREL(A2:A201, B2:B201)</f>
        <v>0.78222442486160615</v>
      </c>
    </row>
    <row r="3" spans="1:5" x14ac:dyDescent="0.25">
      <c r="A3" s="12">
        <v>44.5</v>
      </c>
      <c r="B3" s="12">
        <v>10.4</v>
      </c>
      <c r="D3" s="9" t="s">
        <v>15</v>
      </c>
      <c r="E3" s="10">
        <f>POWER(E2,2)</f>
        <v>0.61187505085007055</v>
      </c>
    </row>
    <row r="4" spans="1:5" x14ac:dyDescent="0.25">
      <c r="A4" s="12">
        <v>17.2</v>
      </c>
      <c r="B4" s="12">
        <v>9.3000000000000007</v>
      </c>
      <c r="D4" s="9" t="s">
        <v>16</v>
      </c>
      <c r="E4" s="10">
        <f xml:space="preserve"> INTERCEPT(B2:B201, A2:A201)</f>
        <v>7.0325935491277054</v>
      </c>
    </row>
    <row r="5" spans="1:5" x14ac:dyDescent="0.25">
      <c r="A5" s="12">
        <v>151.5</v>
      </c>
      <c r="B5" s="12">
        <v>18.5</v>
      </c>
      <c r="D5" s="9" t="s">
        <v>17</v>
      </c>
      <c r="E5" s="10">
        <f xml:space="preserve"> SLOPE(B2:B201, A2:A201)</f>
        <v>4.7536640433019688E-2</v>
      </c>
    </row>
    <row r="6" spans="1:5" x14ac:dyDescent="0.25">
      <c r="A6" s="12">
        <v>180.8</v>
      </c>
      <c r="B6" s="12">
        <v>12.9</v>
      </c>
    </row>
    <row r="7" spans="1:5" x14ac:dyDescent="0.25">
      <c r="A7" s="12">
        <v>8.6999999999999993</v>
      </c>
      <c r="B7" s="12">
        <v>7.2</v>
      </c>
    </row>
    <row r="8" spans="1:5" x14ac:dyDescent="0.25">
      <c r="A8" s="12">
        <v>57.5</v>
      </c>
      <c r="B8" s="12">
        <v>11.8</v>
      </c>
    </row>
    <row r="9" spans="1:5" x14ac:dyDescent="0.25">
      <c r="A9" s="12">
        <v>120.2</v>
      </c>
      <c r="B9" s="12">
        <v>13.2</v>
      </c>
    </row>
    <row r="10" spans="1:5" x14ac:dyDescent="0.25">
      <c r="A10" s="12">
        <v>8.6</v>
      </c>
      <c r="B10" s="12">
        <v>4.8</v>
      </c>
    </row>
    <row r="11" spans="1:5" x14ac:dyDescent="0.25">
      <c r="A11" s="12">
        <v>199.8</v>
      </c>
      <c r="B11" s="12">
        <v>10.6</v>
      </c>
    </row>
    <row r="12" spans="1:5" x14ac:dyDescent="0.25">
      <c r="A12" s="12">
        <v>66.099999999999994</v>
      </c>
      <c r="B12" s="12">
        <v>8.6</v>
      </c>
    </row>
    <row r="13" spans="1:5" x14ac:dyDescent="0.25">
      <c r="A13" s="12">
        <v>214.7</v>
      </c>
      <c r="B13" s="12">
        <v>17.399999999999999</v>
      </c>
    </row>
    <row r="14" spans="1:5" x14ac:dyDescent="0.25">
      <c r="A14" s="12">
        <v>23.8</v>
      </c>
      <c r="B14" s="12">
        <v>9.1999999999999993</v>
      </c>
    </row>
    <row r="15" spans="1:5" x14ac:dyDescent="0.25">
      <c r="A15" s="12">
        <v>97.5</v>
      </c>
      <c r="B15" s="12">
        <v>9.6999999999999993</v>
      </c>
    </row>
    <row r="16" spans="1:5" x14ac:dyDescent="0.25">
      <c r="A16" s="12">
        <v>204.1</v>
      </c>
      <c r="B16" s="12">
        <v>19</v>
      </c>
    </row>
    <row r="17" spans="1:2" x14ac:dyDescent="0.25">
      <c r="A17" s="12">
        <v>195.4</v>
      </c>
      <c r="B17" s="12">
        <v>22.4</v>
      </c>
    </row>
    <row r="18" spans="1:2" x14ac:dyDescent="0.25">
      <c r="A18" s="12">
        <v>67.8</v>
      </c>
      <c r="B18" s="12">
        <v>12.5</v>
      </c>
    </row>
    <row r="19" spans="1:2" x14ac:dyDescent="0.25">
      <c r="A19" s="12">
        <v>281.39999999999998</v>
      </c>
      <c r="B19" s="12">
        <v>24.4</v>
      </c>
    </row>
    <row r="20" spans="1:2" x14ac:dyDescent="0.25">
      <c r="A20" s="12">
        <v>69.2</v>
      </c>
      <c r="B20" s="12">
        <v>11.3</v>
      </c>
    </row>
    <row r="21" spans="1:2" x14ac:dyDescent="0.25">
      <c r="A21" s="12">
        <v>147.30000000000001</v>
      </c>
      <c r="B21" s="12">
        <v>14.6</v>
      </c>
    </row>
    <row r="22" spans="1:2" x14ac:dyDescent="0.25">
      <c r="A22" s="12">
        <v>218.4</v>
      </c>
      <c r="B22" s="12">
        <v>18</v>
      </c>
    </row>
    <row r="23" spans="1:2" x14ac:dyDescent="0.25">
      <c r="A23" s="12">
        <v>237.4</v>
      </c>
      <c r="B23" s="12">
        <v>12.5</v>
      </c>
    </row>
    <row r="24" spans="1:2" x14ac:dyDescent="0.25">
      <c r="A24" s="12">
        <v>13.2</v>
      </c>
      <c r="B24" s="12">
        <v>5.6</v>
      </c>
    </row>
    <row r="25" spans="1:2" x14ac:dyDescent="0.25">
      <c r="A25" s="12">
        <v>228.3</v>
      </c>
      <c r="B25" s="12">
        <v>15.5</v>
      </c>
    </row>
    <row r="26" spans="1:2" x14ac:dyDescent="0.25">
      <c r="A26" s="12">
        <v>62.3</v>
      </c>
      <c r="B26" s="12">
        <v>9.6999999999999993</v>
      </c>
    </row>
    <row r="27" spans="1:2" x14ac:dyDescent="0.25">
      <c r="A27" s="12">
        <v>262.89999999999998</v>
      </c>
      <c r="B27" s="12">
        <v>12</v>
      </c>
    </row>
    <row r="28" spans="1:2" x14ac:dyDescent="0.25">
      <c r="A28" s="12">
        <v>142.9</v>
      </c>
      <c r="B28" s="12">
        <v>15</v>
      </c>
    </row>
    <row r="29" spans="1:2" x14ac:dyDescent="0.25">
      <c r="A29" s="12">
        <v>240.1</v>
      </c>
      <c r="B29" s="12">
        <v>15.9</v>
      </c>
    </row>
    <row r="30" spans="1:2" x14ac:dyDescent="0.25">
      <c r="A30" s="12">
        <v>248.8</v>
      </c>
      <c r="B30" s="12">
        <v>18.899999999999999</v>
      </c>
    </row>
    <row r="31" spans="1:2" x14ac:dyDescent="0.25">
      <c r="A31" s="12">
        <v>70.599999999999994</v>
      </c>
      <c r="B31" s="12">
        <v>10.5</v>
      </c>
    </row>
    <row r="32" spans="1:2" x14ac:dyDescent="0.25">
      <c r="A32" s="12">
        <v>292.89999999999998</v>
      </c>
      <c r="B32" s="12">
        <v>21.4</v>
      </c>
    </row>
    <row r="33" spans="1:2" x14ac:dyDescent="0.25">
      <c r="A33" s="12">
        <v>112.9</v>
      </c>
      <c r="B33" s="12">
        <v>11.9</v>
      </c>
    </row>
    <row r="34" spans="1:2" x14ac:dyDescent="0.25">
      <c r="A34" s="12">
        <v>97.2</v>
      </c>
      <c r="B34" s="12">
        <v>9.6</v>
      </c>
    </row>
    <row r="35" spans="1:2" x14ac:dyDescent="0.25">
      <c r="A35" s="12">
        <v>265.60000000000002</v>
      </c>
      <c r="B35" s="12">
        <v>17.399999999999999</v>
      </c>
    </row>
    <row r="36" spans="1:2" x14ac:dyDescent="0.25">
      <c r="A36" s="12">
        <v>95.7</v>
      </c>
      <c r="B36" s="12">
        <v>9.5</v>
      </c>
    </row>
    <row r="37" spans="1:2" x14ac:dyDescent="0.25">
      <c r="A37" s="12">
        <v>290.7</v>
      </c>
      <c r="B37" s="12">
        <v>12.8</v>
      </c>
    </row>
    <row r="38" spans="1:2" x14ac:dyDescent="0.25">
      <c r="A38" s="12">
        <v>266.89999999999998</v>
      </c>
      <c r="B38" s="12">
        <v>25.4</v>
      </c>
    </row>
    <row r="39" spans="1:2" x14ac:dyDescent="0.25">
      <c r="A39" s="12">
        <v>74.7</v>
      </c>
      <c r="B39" s="12">
        <v>14.7</v>
      </c>
    </row>
    <row r="40" spans="1:2" x14ac:dyDescent="0.25">
      <c r="A40" s="12">
        <v>43.1</v>
      </c>
      <c r="B40" s="12">
        <v>10.1</v>
      </c>
    </row>
    <row r="41" spans="1:2" x14ac:dyDescent="0.25">
      <c r="A41" s="12">
        <v>228</v>
      </c>
      <c r="B41" s="12">
        <v>21.5</v>
      </c>
    </row>
    <row r="42" spans="1:2" x14ac:dyDescent="0.25">
      <c r="A42" s="12">
        <v>202.5</v>
      </c>
      <c r="B42" s="12">
        <v>16.600000000000001</v>
      </c>
    </row>
    <row r="43" spans="1:2" x14ac:dyDescent="0.25">
      <c r="A43" s="12">
        <v>177</v>
      </c>
      <c r="B43" s="12">
        <v>17.100000000000001</v>
      </c>
    </row>
    <row r="44" spans="1:2" x14ac:dyDescent="0.25">
      <c r="A44" s="12">
        <v>293.60000000000002</v>
      </c>
      <c r="B44" s="12">
        <v>20.7</v>
      </c>
    </row>
    <row r="45" spans="1:2" x14ac:dyDescent="0.25">
      <c r="A45" s="12">
        <v>206.9</v>
      </c>
      <c r="B45" s="12">
        <v>12.9</v>
      </c>
    </row>
    <row r="46" spans="1:2" x14ac:dyDescent="0.25">
      <c r="A46" s="12">
        <v>25.1</v>
      </c>
      <c r="B46" s="12">
        <v>8.5</v>
      </c>
    </row>
    <row r="47" spans="1:2" x14ac:dyDescent="0.25">
      <c r="A47" s="12">
        <v>175.1</v>
      </c>
      <c r="B47" s="12">
        <v>14.9</v>
      </c>
    </row>
    <row r="48" spans="1:2" x14ac:dyDescent="0.25">
      <c r="A48" s="12">
        <v>89.7</v>
      </c>
      <c r="B48" s="12">
        <v>10.6</v>
      </c>
    </row>
    <row r="49" spans="1:2" x14ac:dyDescent="0.25">
      <c r="A49" s="12">
        <v>239.9</v>
      </c>
      <c r="B49" s="12">
        <v>23.2</v>
      </c>
    </row>
    <row r="50" spans="1:2" x14ac:dyDescent="0.25">
      <c r="A50" s="12">
        <v>227.2</v>
      </c>
      <c r="B50" s="12">
        <v>14.8</v>
      </c>
    </row>
    <row r="51" spans="1:2" x14ac:dyDescent="0.25">
      <c r="A51" s="12">
        <v>66.900000000000006</v>
      </c>
      <c r="B51" s="12">
        <v>9.6999999999999993</v>
      </c>
    </row>
    <row r="52" spans="1:2" x14ac:dyDescent="0.25">
      <c r="A52" s="12">
        <v>199.8</v>
      </c>
      <c r="B52" s="12">
        <v>11.4</v>
      </c>
    </row>
    <row r="53" spans="1:2" x14ac:dyDescent="0.25">
      <c r="A53" s="12">
        <v>100.4</v>
      </c>
      <c r="B53" s="12">
        <v>10.7</v>
      </c>
    </row>
    <row r="54" spans="1:2" x14ac:dyDescent="0.25">
      <c r="A54" s="12">
        <v>216.4</v>
      </c>
      <c r="B54" s="12">
        <v>22.6</v>
      </c>
    </row>
    <row r="55" spans="1:2" x14ac:dyDescent="0.25">
      <c r="A55" s="12">
        <v>182.6</v>
      </c>
      <c r="B55" s="12">
        <v>21.2</v>
      </c>
    </row>
    <row r="56" spans="1:2" x14ac:dyDescent="0.25">
      <c r="A56" s="12">
        <v>262.7</v>
      </c>
      <c r="B56" s="12">
        <v>20.2</v>
      </c>
    </row>
    <row r="57" spans="1:2" x14ac:dyDescent="0.25">
      <c r="A57" s="12">
        <v>198.9</v>
      </c>
      <c r="B57" s="12">
        <v>23.7</v>
      </c>
    </row>
    <row r="58" spans="1:2" x14ac:dyDescent="0.25">
      <c r="A58" s="12">
        <v>7.3</v>
      </c>
      <c r="B58" s="12">
        <v>5.5</v>
      </c>
    </row>
    <row r="59" spans="1:2" x14ac:dyDescent="0.25">
      <c r="A59" s="12">
        <v>136.19999999999999</v>
      </c>
      <c r="B59" s="12">
        <v>13.2</v>
      </c>
    </row>
    <row r="60" spans="1:2" x14ac:dyDescent="0.25">
      <c r="A60" s="12">
        <v>210.8</v>
      </c>
      <c r="B60" s="12">
        <v>23.8</v>
      </c>
    </row>
    <row r="61" spans="1:2" x14ac:dyDescent="0.25">
      <c r="A61" s="12">
        <v>210.7</v>
      </c>
      <c r="B61" s="12">
        <v>18.399999999999999</v>
      </c>
    </row>
    <row r="62" spans="1:2" x14ac:dyDescent="0.25">
      <c r="A62" s="12">
        <v>53.5</v>
      </c>
      <c r="B62" s="12">
        <v>8.1</v>
      </c>
    </row>
    <row r="63" spans="1:2" x14ac:dyDescent="0.25">
      <c r="A63" s="12">
        <v>261.3</v>
      </c>
      <c r="B63" s="12">
        <v>24.2</v>
      </c>
    </row>
    <row r="64" spans="1:2" x14ac:dyDescent="0.25">
      <c r="A64" s="12">
        <v>239.3</v>
      </c>
      <c r="B64" s="12">
        <v>15.7</v>
      </c>
    </row>
    <row r="65" spans="1:2" x14ac:dyDescent="0.25">
      <c r="A65" s="12">
        <v>102.7</v>
      </c>
      <c r="B65" s="12">
        <v>14</v>
      </c>
    </row>
    <row r="66" spans="1:2" x14ac:dyDescent="0.25">
      <c r="A66" s="12">
        <v>131.1</v>
      </c>
      <c r="B66" s="12">
        <v>18</v>
      </c>
    </row>
    <row r="67" spans="1:2" x14ac:dyDescent="0.25">
      <c r="A67" s="12">
        <v>69</v>
      </c>
      <c r="B67" s="12">
        <v>9.3000000000000007</v>
      </c>
    </row>
    <row r="68" spans="1:2" x14ac:dyDescent="0.25">
      <c r="A68" s="12">
        <v>31.5</v>
      </c>
      <c r="B68" s="12">
        <v>9.5</v>
      </c>
    </row>
    <row r="69" spans="1:2" x14ac:dyDescent="0.25">
      <c r="A69" s="12">
        <v>139.30000000000001</v>
      </c>
      <c r="B69" s="12">
        <v>13.4</v>
      </c>
    </row>
    <row r="70" spans="1:2" x14ac:dyDescent="0.25">
      <c r="A70" s="12">
        <v>237.4</v>
      </c>
      <c r="B70" s="12">
        <v>18.899999999999999</v>
      </c>
    </row>
    <row r="71" spans="1:2" x14ac:dyDescent="0.25">
      <c r="A71" s="12">
        <v>216.8</v>
      </c>
      <c r="B71" s="12">
        <v>22.3</v>
      </c>
    </row>
    <row r="72" spans="1:2" x14ac:dyDescent="0.25">
      <c r="A72" s="12">
        <v>199.1</v>
      </c>
      <c r="B72" s="12">
        <v>18.3</v>
      </c>
    </row>
    <row r="73" spans="1:2" x14ac:dyDescent="0.25">
      <c r="A73" s="12">
        <v>109.8</v>
      </c>
      <c r="B73" s="12">
        <v>12.4</v>
      </c>
    </row>
    <row r="74" spans="1:2" x14ac:dyDescent="0.25">
      <c r="A74" s="12">
        <v>26.8</v>
      </c>
      <c r="B74" s="12">
        <v>8.8000000000000007</v>
      </c>
    </row>
    <row r="75" spans="1:2" x14ac:dyDescent="0.25">
      <c r="A75" s="12">
        <v>129.4</v>
      </c>
      <c r="B75" s="12">
        <v>11</v>
      </c>
    </row>
    <row r="76" spans="1:2" x14ac:dyDescent="0.25">
      <c r="A76" s="12">
        <v>213.4</v>
      </c>
      <c r="B76" s="12">
        <v>17</v>
      </c>
    </row>
    <row r="77" spans="1:2" x14ac:dyDescent="0.25">
      <c r="A77" s="12">
        <v>16.899999999999999</v>
      </c>
      <c r="B77" s="12">
        <v>8.6999999999999993</v>
      </c>
    </row>
    <row r="78" spans="1:2" x14ac:dyDescent="0.25">
      <c r="A78" s="12">
        <v>27.5</v>
      </c>
      <c r="B78" s="12">
        <v>6.9</v>
      </c>
    </row>
    <row r="79" spans="1:2" x14ac:dyDescent="0.25">
      <c r="A79" s="12">
        <v>120.5</v>
      </c>
      <c r="B79" s="12">
        <v>14.2</v>
      </c>
    </row>
    <row r="80" spans="1:2" x14ac:dyDescent="0.25">
      <c r="A80" s="12">
        <v>5.4</v>
      </c>
      <c r="B80" s="12">
        <v>5.3</v>
      </c>
    </row>
    <row r="81" spans="1:2" x14ac:dyDescent="0.25">
      <c r="A81" s="12">
        <v>116</v>
      </c>
      <c r="B81" s="12">
        <v>11</v>
      </c>
    </row>
    <row r="82" spans="1:2" x14ac:dyDescent="0.25">
      <c r="A82" s="12">
        <v>76.400000000000006</v>
      </c>
      <c r="B82" s="12">
        <v>11.8</v>
      </c>
    </row>
    <row r="83" spans="1:2" x14ac:dyDescent="0.25">
      <c r="A83" s="12">
        <v>239.8</v>
      </c>
      <c r="B83" s="12">
        <v>12.3</v>
      </c>
    </row>
    <row r="84" spans="1:2" x14ac:dyDescent="0.25">
      <c r="A84" s="12">
        <v>75.3</v>
      </c>
      <c r="B84" s="12">
        <v>11.3</v>
      </c>
    </row>
    <row r="85" spans="1:2" x14ac:dyDescent="0.25">
      <c r="A85" s="12">
        <v>68.400000000000006</v>
      </c>
      <c r="B85" s="12">
        <v>13.6</v>
      </c>
    </row>
    <row r="86" spans="1:2" x14ac:dyDescent="0.25">
      <c r="A86" s="12">
        <v>213.5</v>
      </c>
      <c r="B86" s="12">
        <v>21.7</v>
      </c>
    </row>
    <row r="87" spans="1:2" x14ac:dyDescent="0.25">
      <c r="A87" s="12">
        <v>193.2</v>
      </c>
      <c r="B87" s="12">
        <v>15.2</v>
      </c>
    </row>
    <row r="88" spans="1:2" x14ac:dyDescent="0.25">
      <c r="A88" s="12">
        <v>76.3</v>
      </c>
      <c r="B88" s="12">
        <v>12</v>
      </c>
    </row>
    <row r="89" spans="1:2" x14ac:dyDescent="0.25">
      <c r="A89" s="12">
        <v>110.7</v>
      </c>
      <c r="B89" s="12">
        <v>16</v>
      </c>
    </row>
    <row r="90" spans="1:2" x14ac:dyDescent="0.25">
      <c r="A90" s="12">
        <v>88.3</v>
      </c>
      <c r="B90" s="12">
        <v>12.9</v>
      </c>
    </row>
    <row r="91" spans="1:2" x14ac:dyDescent="0.25">
      <c r="A91" s="12">
        <v>109.8</v>
      </c>
      <c r="B91" s="12">
        <v>16.7</v>
      </c>
    </row>
    <row r="92" spans="1:2" x14ac:dyDescent="0.25">
      <c r="A92" s="12">
        <v>134.30000000000001</v>
      </c>
      <c r="B92" s="12">
        <v>11.2</v>
      </c>
    </row>
    <row r="93" spans="1:2" x14ac:dyDescent="0.25">
      <c r="A93" s="12">
        <v>28.6</v>
      </c>
      <c r="B93" s="12">
        <v>7.3</v>
      </c>
    </row>
    <row r="94" spans="1:2" x14ac:dyDescent="0.25">
      <c r="A94" s="12">
        <v>217.7</v>
      </c>
      <c r="B94" s="12">
        <v>19.399999999999999</v>
      </c>
    </row>
    <row r="95" spans="1:2" x14ac:dyDescent="0.25">
      <c r="A95" s="12">
        <v>250.9</v>
      </c>
      <c r="B95" s="12">
        <v>22.2</v>
      </c>
    </row>
    <row r="96" spans="1:2" x14ac:dyDescent="0.25">
      <c r="A96" s="12">
        <v>107.4</v>
      </c>
      <c r="B96" s="12">
        <v>11.5</v>
      </c>
    </row>
    <row r="97" spans="1:2" x14ac:dyDescent="0.25">
      <c r="A97" s="12">
        <v>163.30000000000001</v>
      </c>
      <c r="B97" s="12">
        <v>16.899999999999999</v>
      </c>
    </row>
    <row r="98" spans="1:2" x14ac:dyDescent="0.25">
      <c r="A98" s="12">
        <v>197.6</v>
      </c>
      <c r="B98" s="12">
        <v>11.7</v>
      </c>
    </row>
    <row r="99" spans="1:2" x14ac:dyDescent="0.25">
      <c r="A99" s="12">
        <v>184.9</v>
      </c>
      <c r="B99" s="12">
        <v>15.5</v>
      </c>
    </row>
    <row r="100" spans="1:2" x14ac:dyDescent="0.25">
      <c r="A100" s="12">
        <v>289.7</v>
      </c>
      <c r="B100" s="12">
        <v>25.4</v>
      </c>
    </row>
    <row r="101" spans="1:2" x14ac:dyDescent="0.25">
      <c r="A101" s="12">
        <v>135.19999999999999</v>
      </c>
      <c r="B101" s="12">
        <v>17.2</v>
      </c>
    </row>
    <row r="102" spans="1:2" x14ac:dyDescent="0.25">
      <c r="A102" s="12">
        <v>222.4</v>
      </c>
      <c r="B102" s="12">
        <v>11.7</v>
      </c>
    </row>
    <row r="103" spans="1:2" x14ac:dyDescent="0.25">
      <c r="A103" s="12">
        <v>296.39999999999998</v>
      </c>
      <c r="B103" s="12">
        <v>23.8</v>
      </c>
    </row>
    <row r="104" spans="1:2" x14ac:dyDescent="0.25">
      <c r="A104" s="12">
        <v>280.2</v>
      </c>
      <c r="B104" s="12">
        <v>14.8</v>
      </c>
    </row>
    <row r="105" spans="1:2" x14ac:dyDescent="0.25">
      <c r="A105" s="12">
        <v>187.9</v>
      </c>
      <c r="B105" s="12">
        <v>14.7</v>
      </c>
    </row>
    <row r="106" spans="1:2" x14ac:dyDescent="0.25">
      <c r="A106" s="12">
        <v>238.2</v>
      </c>
      <c r="B106" s="12">
        <v>20.7</v>
      </c>
    </row>
    <row r="107" spans="1:2" x14ac:dyDescent="0.25">
      <c r="A107" s="12">
        <v>137.9</v>
      </c>
      <c r="B107" s="12">
        <v>19.2</v>
      </c>
    </row>
    <row r="108" spans="1:2" x14ac:dyDescent="0.25">
      <c r="A108" s="12">
        <v>25</v>
      </c>
      <c r="B108" s="12">
        <v>7.2</v>
      </c>
    </row>
    <row r="109" spans="1:2" x14ac:dyDescent="0.25">
      <c r="A109" s="12">
        <v>90.4</v>
      </c>
      <c r="B109" s="12">
        <v>8.6999999999999993</v>
      </c>
    </row>
    <row r="110" spans="1:2" x14ac:dyDescent="0.25">
      <c r="A110" s="12">
        <v>13.1</v>
      </c>
      <c r="B110" s="12">
        <v>5.3</v>
      </c>
    </row>
    <row r="111" spans="1:2" x14ac:dyDescent="0.25">
      <c r="A111" s="12">
        <v>255.4</v>
      </c>
      <c r="B111" s="12">
        <v>19.8</v>
      </c>
    </row>
    <row r="112" spans="1:2" x14ac:dyDescent="0.25">
      <c r="A112" s="12">
        <v>225.8</v>
      </c>
      <c r="B112" s="12">
        <v>13.4</v>
      </c>
    </row>
    <row r="113" spans="1:2" x14ac:dyDescent="0.25">
      <c r="A113" s="12">
        <v>241.7</v>
      </c>
      <c r="B113" s="12">
        <v>21.8</v>
      </c>
    </row>
    <row r="114" spans="1:2" x14ac:dyDescent="0.25">
      <c r="A114" s="12">
        <v>175.7</v>
      </c>
      <c r="B114" s="12">
        <v>14.1</v>
      </c>
    </row>
    <row r="115" spans="1:2" x14ac:dyDescent="0.25">
      <c r="A115" s="12">
        <v>209.6</v>
      </c>
      <c r="B115" s="12">
        <v>15.9</v>
      </c>
    </row>
    <row r="116" spans="1:2" x14ac:dyDescent="0.25">
      <c r="A116" s="12">
        <v>78.2</v>
      </c>
      <c r="B116" s="12">
        <v>14.6</v>
      </c>
    </row>
    <row r="117" spans="1:2" x14ac:dyDescent="0.25">
      <c r="A117" s="12">
        <v>75.099999999999994</v>
      </c>
      <c r="B117" s="12">
        <v>12.6</v>
      </c>
    </row>
    <row r="118" spans="1:2" x14ac:dyDescent="0.25">
      <c r="A118" s="12">
        <v>139.19999999999999</v>
      </c>
      <c r="B118" s="12">
        <v>12.2</v>
      </c>
    </row>
    <row r="119" spans="1:2" x14ac:dyDescent="0.25">
      <c r="A119" s="12">
        <v>76.400000000000006</v>
      </c>
      <c r="B119" s="12">
        <v>9.4</v>
      </c>
    </row>
    <row r="120" spans="1:2" x14ac:dyDescent="0.25">
      <c r="A120" s="12">
        <v>125.7</v>
      </c>
      <c r="B120" s="12">
        <v>15.9</v>
      </c>
    </row>
    <row r="121" spans="1:2" x14ac:dyDescent="0.25">
      <c r="A121" s="12">
        <v>19.399999999999999</v>
      </c>
      <c r="B121" s="12">
        <v>6.6</v>
      </c>
    </row>
    <row r="122" spans="1:2" x14ac:dyDescent="0.25">
      <c r="A122" s="12">
        <v>141.30000000000001</v>
      </c>
      <c r="B122" s="12">
        <v>15.5</v>
      </c>
    </row>
    <row r="123" spans="1:2" x14ac:dyDescent="0.25">
      <c r="A123" s="12">
        <v>18.8</v>
      </c>
      <c r="B123" s="12">
        <v>7</v>
      </c>
    </row>
    <row r="124" spans="1:2" x14ac:dyDescent="0.25">
      <c r="A124" s="12">
        <v>224</v>
      </c>
      <c r="B124" s="12">
        <v>11.6</v>
      </c>
    </row>
    <row r="125" spans="1:2" x14ac:dyDescent="0.25">
      <c r="A125" s="12">
        <v>123.1</v>
      </c>
      <c r="B125" s="12">
        <v>15.2</v>
      </c>
    </row>
    <row r="126" spans="1:2" x14ac:dyDescent="0.25">
      <c r="A126" s="12">
        <v>229.5</v>
      </c>
      <c r="B126" s="12">
        <v>19.7</v>
      </c>
    </row>
    <row r="127" spans="1:2" x14ac:dyDescent="0.25">
      <c r="A127" s="12">
        <v>87.2</v>
      </c>
      <c r="B127" s="12">
        <v>10.6</v>
      </c>
    </row>
    <row r="128" spans="1:2" x14ac:dyDescent="0.25">
      <c r="A128" s="12">
        <v>7.8</v>
      </c>
      <c r="B128" s="12">
        <v>6.6</v>
      </c>
    </row>
    <row r="129" spans="1:2" x14ac:dyDescent="0.25">
      <c r="A129" s="12">
        <v>80.2</v>
      </c>
      <c r="B129" s="12">
        <v>8.8000000000000007</v>
      </c>
    </row>
    <row r="130" spans="1:2" x14ac:dyDescent="0.25">
      <c r="A130" s="12">
        <v>220.3</v>
      </c>
      <c r="B130" s="12">
        <v>24.7</v>
      </c>
    </row>
    <row r="131" spans="1:2" x14ac:dyDescent="0.25">
      <c r="A131" s="12">
        <v>59.6</v>
      </c>
      <c r="B131" s="12">
        <v>9.6999999999999993</v>
      </c>
    </row>
    <row r="132" spans="1:2" x14ac:dyDescent="0.25">
      <c r="A132" s="12">
        <v>0.7</v>
      </c>
      <c r="B132" s="12">
        <v>1.6</v>
      </c>
    </row>
    <row r="133" spans="1:2" x14ac:dyDescent="0.25">
      <c r="A133" s="12">
        <v>265.2</v>
      </c>
      <c r="B133" s="12">
        <v>12.7</v>
      </c>
    </row>
    <row r="134" spans="1:2" x14ac:dyDescent="0.25">
      <c r="A134" s="12">
        <v>8.4</v>
      </c>
      <c r="B134" s="12">
        <v>5.7</v>
      </c>
    </row>
    <row r="135" spans="1:2" x14ac:dyDescent="0.25">
      <c r="A135" s="12">
        <v>219.8</v>
      </c>
      <c r="B135" s="12">
        <v>19.600000000000001</v>
      </c>
    </row>
    <row r="136" spans="1:2" x14ac:dyDescent="0.25">
      <c r="A136" s="12">
        <v>36.9</v>
      </c>
      <c r="B136" s="12">
        <v>10.8</v>
      </c>
    </row>
    <row r="137" spans="1:2" x14ac:dyDescent="0.25">
      <c r="A137" s="12">
        <v>48.3</v>
      </c>
      <c r="B137" s="12">
        <v>11.6</v>
      </c>
    </row>
    <row r="138" spans="1:2" x14ac:dyDescent="0.25">
      <c r="A138" s="12">
        <v>25.6</v>
      </c>
      <c r="B138" s="12">
        <v>9.5</v>
      </c>
    </row>
    <row r="139" spans="1:2" x14ac:dyDescent="0.25">
      <c r="A139" s="12">
        <v>273.7</v>
      </c>
      <c r="B139" s="12">
        <v>20.8</v>
      </c>
    </row>
    <row r="140" spans="1:2" x14ac:dyDescent="0.25">
      <c r="A140" s="12">
        <v>43</v>
      </c>
      <c r="B140" s="12">
        <v>9.6</v>
      </c>
    </row>
    <row r="141" spans="1:2" x14ac:dyDescent="0.25">
      <c r="A141" s="12">
        <v>184.9</v>
      </c>
      <c r="B141" s="12">
        <v>20.7</v>
      </c>
    </row>
    <row r="142" spans="1:2" x14ac:dyDescent="0.25">
      <c r="A142" s="12">
        <v>73.400000000000006</v>
      </c>
      <c r="B142" s="12">
        <v>10.9</v>
      </c>
    </row>
    <row r="143" spans="1:2" x14ac:dyDescent="0.25">
      <c r="A143" s="12">
        <v>193.7</v>
      </c>
      <c r="B143" s="12">
        <v>19.2</v>
      </c>
    </row>
    <row r="144" spans="1:2" x14ac:dyDescent="0.25">
      <c r="A144" s="12">
        <v>220.5</v>
      </c>
      <c r="B144" s="12">
        <v>20.100000000000001</v>
      </c>
    </row>
    <row r="145" spans="1:2" x14ac:dyDescent="0.25">
      <c r="A145" s="12">
        <v>104.6</v>
      </c>
      <c r="B145" s="12">
        <v>10.4</v>
      </c>
    </row>
    <row r="146" spans="1:2" x14ac:dyDescent="0.25">
      <c r="A146" s="12">
        <v>96.2</v>
      </c>
      <c r="B146" s="12">
        <v>11.4</v>
      </c>
    </row>
    <row r="147" spans="1:2" x14ac:dyDescent="0.25">
      <c r="A147" s="12">
        <v>140.30000000000001</v>
      </c>
      <c r="B147" s="12">
        <v>10.3</v>
      </c>
    </row>
    <row r="148" spans="1:2" x14ac:dyDescent="0.25">
      <c r="A148" s="12">
        <v>240.1</v>
      </c>
      <c r="B148" s="12">
        <v>13.2</v>
      </c>
    </row>
    <row r="149" spans="1:2" x14ac:dyDescent="0.25">
      <c r="A149" s="12">
        <v>243.2</v>
      </c>
      <c r="B149" s="12">
        <v>25.4</v>
      </c>
    </row>
    <row r="150" spans="1:2" x14ac:dyDescent="0.25">
      <c r="A150" s="12">
        <v>38</v>
      </c>
      <c r="B150" s="12">
        <v>10.9</v>
      </c>
    </row>
    <row r="151" spans="1:2" x14ac:dyDescent="0.25">
      <c r="A151" s="12">
        <v>44.7</v>
      </c>
      <c r="B151" s="12">
        <v>10.1</v>
      </c>
    </row>
    <row r="152" spans="1:2" x14ac:dyDescent="0.25">
      <c r="A152" s="12">
        <v>280.7</v>
      </c>
      <c r="B152" s="12">
        <v>16.100000000000001</v>
      </c>
    </row>
    <row r="153" spans="1:2" x14ac:dyDescent="0.25">
      <c r="A153" s="12">
        <v>121</v>
      </c>
      <c r="B153" s="12">
        <v>11.6</v>
      </c>
    </row>
    <row r="154" spans="1:2" x14ac:dyDescent="0.25">
      <c r="A154" s="12">
        <v>197.6</v>
      </c>
      <c r="B154" s="12">
        <v>16.600000000000001</v>
      </c>
    </row>
    <row r="155" spans="1:2" x14ac:dyDescent="0.25">
      <c r="A155" s="12">
        <v>171.3</v>
      </c>
      <c r="B155" s="12">
        <v>19</v>
      </c>
    </row>
    <row r="156" spans="1:2" x14ac:dyDescent="0.25">
      <c r="A156" s="12">
        <v>187.8</v>
      </c>
      <c r="B156" s="12">
        <v>15.6</v>
      </c>
    </row>
    <row r="157" spans="1:2" x14ac:dyDescent="0.25">
      <c r="A157" s="12">
        <v>4.0999999999999996</v>
      </c>
      <c r="B157" s="12">
        <v>3.2</v>
      </c>
    </row>
    <row r="158" spans="1:2" x14ac:dyDescent="0.25">
      <c r="A158" s="12">
        <v>93.9</v>
      </c>
      <c r="B158" s="12">
        <v>15.3</v>
      </c>
    </row>
    <row r="159" spans="1:2" x14ac:dyDescent="0.25">
      <c r="A159" s="12">
        <v>149.80000000000001</v>
      </c>
      <c r="B159" s="12">
        <v>10.1</v>
      </c>
    </row>
    <row r="160" spans="1:2" x14ac:dyDescent="0.25">
      <c r="A160" s="12">
        <v>11.7</v>
      </c>
      <c r="B160" s="12">
        <v>7.3</v>
      </c>
    </row>
    <row r="161" spans="1:2" x14ac:dyDescent="0.25">
      <c r="A161" s="12">
        <v>131.69999999999999</v>
      </c>
      <c r="B161" s="12">
        <v>12.9</v>
      </c>
    </row>
    <row r="162" spans="1:2" x14ac:dyDescent="0.25">
      <c r="A162" s="12">
        <v>172.5</v>
      </c>
      <c r="B162" s="12">
        <v>14.4</v>
      </c>
    </row>
    <row r="163" spans="1:2" x14ac:dyDescent="0.25">
      <c r="A163" s="12">
        <v>85.7</v>
      </c>
      <c r="B163" s="12">
        <v>13.3</v>
      </c>
    </row>
    <row r="164" spans="1:2" x14ac:dyDescent="0.25">
      <c r="A164" s="12">
        <v>188.4</v>
      </c>
      <c r="B164" s="12">
        <v>14.9</v>
      </c>
    </row>
    <row r="165" spans="1:2" x14ac:dyDescent="0.25">
      <c r="A165" s="12">
        <v>163.5</v>
      </c>
      <c r="B165" s="12">
        <v>18</v>
      </c>
    </row>
    <row r="166" spans="1:2" x14ac:dyDescent="0.25">
      <c r="A166" s="12">
        <v>117.2</v>
      </c>
      <c r="B166" s="12">
        <v>11.9</v>
      </c>
    </row>
    <row r="167" spans="1:2" x14ac:dyDescent="0.25">
      <c r="A167" s="12">
        <v>234.5</v>
      </c>
      <c r="B167" s="12">
        <v>11.9</v>
      </c>
    </row>
    <row r="168" spans="1:2" x14ac:dyDescent="0.25">
      <c r="A168" s="12">
        <v>17.899999999999999</v>
      </c>
      <c r="B168" s="12">
        <v>8</v>
      </c>
    </row>
    <row r="169" spans="1:2" x14ac:dyDescent="0.25">
      <c r="A169" s="12">
        <v>206.8</v>
      </c>
      <c r="B169" s="12">
        <v>12.2</v>
      </c>
    </row>
    <row r="170" spans="1:2" x14ac:dyDescent="0.25">
      <c r="A170" s="12">
        <v>215.4</v>
      </c>
      <c r="B170" s="12">
        <v>17.100000000000001</v>
      </c>
    </row>
    <row r="171" spans="1:2" x14ac:dyDescent="0.25">
      <c r="A171" s="12">
        <v>284.3</v>
      </c>
      <c r="B171" s="12">
        <v>15</v>
      </c>
    </row>
    <row r="172" spans="1:2" x14ac:dyDescent="0.25">
      <c r="A172" s="12">
        <v>50</v>
      </c>
      <c r="B172" s="12">
        <v>8.4</v>
      </c>
    </row>
    <row r="173" spans="1:2" x14ac:dyDescent="0.25">
      <c r="A173" s="12">
        <v>164.5</v>
      </c>
      <c r="B173" s="12">
        <v>14.5</v>
      </c>
    </row>
    <row r="174" spans="1:2" x14ac:dyDescent="0.25">
      <c r="A174" s="12">
        <v>19.600000000000001</v>
      </c>
      <c r="B174" s="12">
        <v>7.6</v>
      </c>
    </row>
    <row r="175" spans="1:2" x14ac:dyDescent="0.25">
      <c r="A175" s="12">
        <v>168.4</v>
      </c>
      <c r="B175" s="12">
        <v>11.7</v>
      </c>
    </row>
    <row r="176" spans="1:2" x14ac:dyDescent="0.25">
      <c r="A176" s="12">
        <v>222.4</v>
      </c>
      <c r="B176" s="12">
        <v>11.5</v>
      </c>
    </row>
    <row r="177" spans="1:2" x14ac:dyDescent="0.25">
      <c r="A177" s="12">
        <v>276.89999999999998</v>
      </c>
      <c r="B177" s="12">
        <v>27</v>
      </c>
    </row>
    <row r="178" spans="1:2" x14ac:dyDescent="0.25">
      <c r="A178" s="12">
        <v>248.4</v>
      </c>
      <c r="B178" s="12">
        <v>20.2</v>
      </c>
    </row>
    <row r="179" spans="1:2" x14ac:dyDescent="0.25">
      <c r="A179" s="12">
        <v>170.2</v>
      </c>
      <c r="B179" s="12">
        <v>11.7</v>
      </c>
    </row>
    <row r="180" spans="1:2" x14ac:dyDescent="0.25">
      <c r="A180" s="12">
        <v>276.7</v>
      </c>
      <c r="B180" s="12">
        <v>11.8</v>
      </c>
    </row>
    <row r="181" spans="1:2" x14ac:dyDescent="0.25">
      <c r="A181" s="12">
        <v>165.6</v>
      </c>
      <c r="B181" s="12">
        <v>12.6</v>
      </c>
    </row>
    <row r="182" spans="1:2" x14ac:dyDescent="0.25">
      <c r="A182" s="12">
        <v>156.6</v>
      </c>
      <c r="B182" s="12">
        <v>10.5</v>
      </c>
    </row>
    <row r="183" spans="1:2" x14ac:dyDescent="0.25">
      <c r="A183" s="12">
        <v>218.5</v>
      </c>
      <c r="B183" s="12">
        <v>12.2</v>
      </c>
    </row>
    <row r="184" spans="1:2" x14ac:dyDescent="0.25">
      <c r="A184" s="12">
        <v>56.2</v>
      </c>
      <c r="B184" s="12">
        <v>8.6999999999999993</v>
      </c>
    </row>
    <row r="185" spans="1:2" x14ac:dyDescent="0.25">
      <c r="A185" s="12">
        <v>287.60000000000002</v>
      </c>
      <c r="B185" s="12">
        <v>26.2</v>
      </c>
    </row>
    <row r="186" spans="1:2" x14ac:dyDescent="0.25">
      <c r="A186" s="12">
        <v>253.8</v>
      </c>
      <c r="B186" s="12">
        <v>17.600000000000001</v>
      </c>
    </row>
    <row r="187" spans="1:2" x14ac:dyDescent="0.25">
      <c r="A187" s="12">
        <v>205</v>
      </c>
      <c r="B187" s="12">
        <v>22.6</v>
      </c>
    </row>
    <row r="188" spans="1:2" x14ac:dyDescent="0.25">
      <c r="A188" s="12">
        <v>139.5</v>
      </c>
      <c r="B188" s="12">
        <v>10.3</v>
      </c>
    </row>
    <row r="189" spans="1:2" x14ac:dyDescent="0.25">
      <c r="A189" s="12">
        <v>191.1</v>
      </c>
      <c r="B189" s="12">
        <v>17.3</v>
      </c>
    </row>
    <row r="190" spans="1:2" x14ac:dyDescent="0.25">
      <c r="A190" s="12">
        <v>286</v>
      </c>
      <c r="B190" s="12">
        <v>15.9</v>
      </c>
    </row>
    <row r="191" spans="1:2" x14ac:dyDescent="0.25">
      <c r="A191" s="12">
        <v>18.7</v>
      </c>
      <c r="B191" s="12">
        <v>6.7</v>
      </c>
    </row>
    <row r="192" spans="1:2" x14ac:dyDescent="0.25">
      <c r="A192" s="12">
        <v>39.5</v>
      </c>
      <c r="B192" s="12">
        <v>10.8</v>
      </c>
    </row>
    <row r="193" spans="1:2" x14ac:dyDescent="0.25">
      <c r="A193" s="12">
        <v>75.5</v>
      </c>
      <c r="B193" s="12">
        <v>9.9</v>
      </c>
    </row>
    <row r="194" spans="1:2" x14ac:dyDescent="0.25">
      <c r="A194" s="12">
        <v>17.2</v>
      </c>
      <c r="B194" s="12">
        <v>5.9</v>
      </c>
    </row>
    <row r="195" spans="1:2" x14ac:dyDescent="0.25">
      <c r="A195" s="12">
        <v>166.8</v>
      </c>
      <c r="B195" s="12">
        <v>19.600000000000001</v>
      </c>
    </row>
    <row r="196" spans="1:2" x14ac:dyDescent="0.25">
      <c r="A196" s="12">
        <v>149.69999999999999</v>
      </c>
      <c r="B196" s="12">
        <v>17.3</v>
      </c>
    </row>
    <row r="197" spans="1:2" x14ac:dyDescent="0.25">
      <c r="A197" s="12">
        <v>38.200000000000003</v>
      </c>
      <c r="B197" s="12">
        <v>7.6</v>
      </c>
    </row>
    <row r="198" spans="1:2" x14ac:dyDescent="0.25">
      <c r="A198" s="12">
        <v>94.2</v>
      </c>
      <c r="B198" s="12">
        <v>9.6999999999999993</v>
      </c>
    </row>
    <row r="199" spans="1:2" x14ac:dyDescent="0.25">
      <c r="A199" s="12">
        <v>177</v>
      </c>
      <c r="B199" s="12">
        <v>12.8</v>
      </c>
    </row>
    <row r="200" spans="1:2" x14ac:dyDescent="0.25">
      <c r="A200" s="12">
        <v>283.60000000000002</v>
      </c>
      <c r="B200" s="12">
        <v>25.5</v>
      </c>
    </row>
    <row r="201" spans="1:2" x14ac:dyDescent="0.25">
      <c r="A201" s="13">
        <v>232.1</v>
      </c>
      <c r="B201" s="13">
        <v>13.4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81DA-1832-4956-9ABA-598260391105}">
  <dimension ref="A1:D213"/>
  <sheetViews>
    <sheetView workbookViewId="0">
      <selection activeCell="W24" sqref="W24"/>
    </sheetView>
  </sheetViews>
  <sheetFormatPr defaultRowHeight="15" x14ac:dyDescent="0.25"/>
  <cols>
    <col min="1" max="1" width="17.85546875" customWidth="1"/>
    <col min="2" max="2" width="25.140625" customWidth="1"/>
    <col min="3" max="3" width="20.28515625" customWidth="1"/>
    <col min="4" max="4" width="22.140625" customWidth="1"/>
  </cols>
  <sheetData>
    <row r="1" spans="1:4" ht="30" x14ac:dyDescent="0.25">
      <c r="A1" s="3" t="s">
        <v>0</v>
      </c>
      <c r="B1" s="3" t="s">
        <v>1</v>
      </c>
      <c r="C1" s="16" t="s">
        <v>2</v>
      </c>
      <c r="D1" s="16" t="s">
        <v>3</v>
      </c>
    </row>
    <row r="2" spans="1:4" x14ac:dyDescent="0.25">
      <c r="A2" s="2">
        <v>230.1</v>
      </c>
      <c r="B2" s="2">
        <v>22.1</v>
      </c>
      <c r="C2" s="4">
        <f>$B$209 + ($B$210*A2)</f>
        <v>17.970774512765537</v>
      </c>
      <c r="D2" s="4">
        <f>B2-C2</f>
        <v>4.1292254872344643</v>
      </c>
    </row>
    <row r="3" spans="1:4" x14ac:dyDescent="0.25">
      <c r="A3" s="2">
        <v>44.5</v>
      </c>
      <c r="B3" s="2">
        <v>10.4</v>
      </c>
      <c r="C3" s="4">
        <f t="shared" ref="C3:C66" si="0">$B$209 + ($B$210*A3)</f>
        <v>9.1479740483970815</v>
      </c>
      <c r="D3" s="4">
        <f t="shared" ref="D3:D66" si="1">B3-C3</f>
        <v>1.2520259516029189</v>
      </c>
    </row>
    <row r="4" spans="1:4" x14ac:dyDescent="0.25">
      <c r="A4" s="2">
        <v>17.2</v>
      </c>
      <c r="B4" s="2">
        <v>9.3000000000000007</v>
      </c>
      <c r="C4" s="4">
        <f t="shared" si="0"/>
        <v>7.8502237645756443</v>
      </c>
      <c r="D4" s="4">
        <f t="shared" si="1"/>
        <v>1.4497762354243564</v>
      </c>
    </row>
    <row r="5" spans="1:4" x14ac:dyDescent="0.25">
      <c r="A5" s="2">
        <v>151.5</v>
      </c>
      <c r="B5" s="2">
        <v>18.5</v>
      </c>
      <c r="C5" s="4">
        <f t="shared" si="0"/>
        <v>14.234394574730189</v>
      </c>
      <c r="D5" s="4">
        <f t="shared" si="1"/>
        <v>4.2656054252698112</v>
      </c>
    </row>
    <row r="6" spans="1:4" x14ac:dyDescent="0.25">
      <c r="A6" s="2">
        <v>180.8</v>
      </c>
      <c r="B6" s="2">
        <v>12.9</v>
      </c>
      <c r="C6" s="4">
        <f t="shared" si="0"/>
        <v>15.627218139417666</v>
      </c>
      <c r="D6" s="4">
        <f t="shared" si="1"/>
        <v>-2.7272181394176656</v>
      </c>
    </row>
    <row r="7" spans="1:4" x14ac:dyDescent="0.25">
      <c r="A7" s="2">
        <v>8.6999999999999993</v>
      </c>
      <c r="B7" s="2">
        <v>7.2</v>
      </c>
      <c r="C7" s="4">
        <f t="shared" si="0"/>
        <v>7.4461623208949765</v>
      </c>
      <c r="D7" s="4">
        <f t="shared" si="1"/>
        <v>-0.24616232089497636</v>
      </c>
    </row>
    <row r="8" spans="1:4" x14ac:dyDescent="0.25">
      <c r="A8" s="2">
        <v>57.5</v>
      </c>
      <c r="B8" s="2">
        <v>11.8</v>
      </c>
      <c r="C8" s="4">
        <f t="shared" si="0"/>
        <v>9.7659503740263371</v>
      </c>
      <c r="D8" s="4">
        <f t="shared" si="1"/>
        <v>2.0340496259736636</v>
      </c>
    </row>
    <row r="9" spans="1:4" x14ac:dyDescent="0.25">
      <c r="A9" s="2">
        <v>120.2</v>
      </c>
      <c r="B9" s="2">
        <v>13.2</v>
      </c>
      <c r="C9" s="4">
        <f t="shared" si="0"/>
        <v>12.746497729176671</v>
      </c>
      <c r="D9" s="4">
        <f t="shared" si="1"/>
        <v>0.4535022708233285</v>
      </c>
    </row>
    <row r="10" spans="1:4" x14ac:dyDescent="0.25">
      <c r="A10" s="2">
        <v>8.6</v>
      </c>
      <c r="B10" s="2">
        <v>4.8</v>
      </c>
      <c r="C10" s="4">
        <f t="shared" si="0"/>
        <v>7.4414086568516744</v>
      </c>
      <c r="D10" s="4">
        <f t="shared" si="1"/>
        <v>-2.6414086568516746</v>
      </c>
    </row>
    <row r="11" spans="1:4" x14ac:dyDescent="0.25">
      <c r="A11" s="2">
        <v>199.8</v>
      </c>
      <c r="B11" s="2">
        <v>10.6</v>
      </c>
      <c r="C11" s="4">
        <f t="shared" si="0"/>
        <v>16.530414307645039</v>
      </c>
      <c r="D11" s="4">
        <f t="shared" si="1"/>
        <v>-5.9304143076450391</v>
      </c>
    </row>
    <row r="12" spans="1:4" x14ac:dyDescent="0.25">
      <c r="A12" s="2">
        <v>66.099999999999994</v>
      </c>
      <c r="B12" s="2">
        <v>8.6</v>
      </c>
      <c r="C12" s="4">
        <f t="shared" si="0"/>
        <v>10.174765481750306</v>
      </c>
      <c r="D12" s="4">
        <f t="shared" si="1"/>
        <v>-1.5747654817503065</v>
      </c>
    </row>
    <row r="13" spans="1:4" x14ac:dyDescent="0.25">
      <c r="A13" s="2">
        <v>214.7</v>
      </c>
      <c r="B13" s="2">
        <v>17.399999999999999</v>
      </c>
      <c r="C13" s="4">
        <f t="shared" si="0"/>
        <v>17.238710250097032</v>
      </c>
      <c r="D13" s="4">
        <f t="shared" si="1"/>
        <v>0.16128974990296641</v>
      </c>
    </row>
    <row r="14" spans="1:4" x14ac:dyDescent="0.25">
      <c r="A14" s="2">
        <v>23.8</v>
      </c>
      <c r="B14" s="2">
        <v>9.1999999999999993</v>
      </c>
      <c r="C14" s="4">
        <f t="shared" si="0"/>
        <v>8.1639655914335734</v>
      </c>
      <c r="D14" s="4">
        <f t="shared" si="1"/>
        <v>1.0360344085664259</v>
      </c>
    </row>
    <row r="15" spans="1:4" x14ac:dyDescent="0.25">
      <c r="A15" s="2">
        <v>97.5</v>
      </c>
      <c r="B15" s="2">
        <v>9.6999999999999993</v>
      </c>
      <c r="C15" s="4">
        <f t="shared" si="0"/>
        <v>11.667415991347125</v>
      </c>
      <c r="D15" s="4">
        <f t="shared" si="1"/>
        <v>-1.9674159913471261</v>
      </c>
    </row>
    <row r="16" spans="1:4" x14ac:dyDescent="0.25">
      <c r="A16" s="2">
        <v>204.1</v>
      </c>
      <c r="B16" s="2">
        <v>19</v>
      </c>
      <c r="C16" s="4">
        <f t="shared" si="0"/>
        <v>16.734821861507022</v>
      </c>
      <c r="D16" s="4">
        <f t="shared" si="1"/>
        <v>2.2651781384929777</v>
      </c>
    </row>
    <row r="17" spans="1:4" x14ac:dyDescent="0.25">
      <c r="A17" s="2">
        <v>195.4</v>
      </c>
      <c r="B17" s="2">
        <v>22.4</v>
      </c>
      <c r="C17" s="4">
        <f t="shared" si="0"/>
        <v>16.321253089739752</v>
      </c>
      <c r="D17" s="4">
        <f t="shared" si="1"/>
        <v>6.0787469102602465</v>
      </c>
    </row>
    <row r="18" spans="1:4" x14ac:dyDescent="0.25">
      <c r="A18" s="2">
        <v>67.8</v>
      </c>
      <c r="B18" s="2">
        <v>12.5</v>
      </c>
      <c r="C18" s="4">
        <f t="shared" si="0"/>
        <v>10.25557777048644</v>
      </c>
      <c r="D18" s="4">
        <f t="shared" si="1"/>
        <v>2.2444222295135603</v>
      </c>
    </row>
    <row r="19" spans="1:4" x14ac:dyDescent="0.25">
      <c r="A19" s="2">
        <v>281.39999999999998</v>
      </c>
      <c r="B19" s="2">
        <v>24.4</v>
      </c>
      <c r="C19" s="4">
        <f t="shared" si="0"/>
        <v>20.409404166979442</v>
      </c>
      <c r="D19" s="4">
        <f t="shared" si="1"/>
        <v>3.9905958330205564</v>
      </c>
    </row>
    <row r="20" spans="1:4" x14ac:dyDescent="0.25">
      <c r="A20" s="2">
        <v>69.2</v>
      </c>
      <c r="B20" s="2">
        <v>11.3</v>
      </c>
      <c r="C20" s="4">
        <f t="shared" si="0"/>
        <v>10.322129067092668</v>
      </c>
      <c r="D20" s="4">
        <f t="shared" si="1"/>
        <v>0.97787093290733296</v>
      </c>
    </row>
    <row r="21" spans="1:4" x14ac:dyDescent="0.25">
      <c r="A21" s="2">
        <v>147.30000000000001</v>
      </c>
      <c r="B21" s="2">
        <v>14.6</v>
      </c>
      <c r="C21" s="4">
        <f t="shared" si="0"/>
        <v>14.034740684911505</v>
      </c>
      <c r="D21" s="4">
        <f t="shared" si="1"/>
        <v>0.56525931508849503</v>
      </c>
    </row>
    <row r="22" spans="1:4" x14ac:dyDescent="0.25">
      <c r="A22" s="2">
        <v>218.4</v>
      </c>
      <c r="B22" s="2">
        <v>18</v>
      </c>
      <c r="C22" s="4">
        <f t="shared" si="0"/>
        <v>17.414595819699205</v>
      </c>
      <c r="D22" s="4">
        <f t="shared" si="1"/>
        <v>0.58540418030079522</v>
      </c>
    </row>
    <row r="23" spans="1:4" x14ac:dyDescent="0.25">
      <c r="A23" s="2">
        <v>237.4</v>
      </c>
      <c r="B23" s="2">
        <v>12.5</v>
      </c>
      <c r="C23" s="4">
        <f t="shared" si="0"/>
        <v>18.317791987926579</v>
      </c>
      <c r="D23" s="4">
        <f t="shared" si="1"/>
        <v>-5.8177919879265794</v>
      </c>
    </row>
    <row r="24" spans="1:4" x14ac:dyDescent="0.25">
      <c r="A24" s="2">
        <v>13.2</v>
      </c>
      <c r="B24" s="2">
        <v>5.6</v>
      </c>
      <c r="C24" s="4">
        <f t="shared" si="0"/>
        <v>7.6600772028435653</v>
      </c>
      <c r="D24" s="4">
        <f t="shared" si="1"/>
        <v>-2.0600772028435657</v>
      </c>
    </row>
    <row r="25" spans="1:4" x14ac:dyDescent="0.25">
      <c r="A25" s="2">
        <v>228.3</v>
      </c>
      <c r="B25" s="2">
        <v>15.5</v>
      </c>
      <c r="C25" s="4">
        <f t="shared" si="0"/>
        <v>17.885208559986101</v>
      </c>
      <c r="D25" s="4">
        <f t="shared" si="1"/>
        <v>-2.3852085599861006</v>
      </c>
    </row>
    <row r="26" spans="1:4" x14ac:dyDescent="0.25">
      <c r="A26" s="2">
        <v>62.3</v>
      </c>
      <c r="B26" s="2">
        <v>9.6999999999999993</v>
      </c>
      <c r="C26" s="4">
        <f t="shared" si="0"/>
        <v>9.9941262481048323</v>
      </c>
      <c r="D26" s="4">
        <f t="shared" si="1"/>
        <v>-0.29412624810483301</v>
      </c>
    </row>
    <row r="27" spans="1:4" x14ac:dyDescent="0.25">
      <c r="A27" s="2">
        <v>262.89999999999998</v>
      </c>
      <c r="B27" s="2">
        <v>12</v>
      </c>
      <c r="C27" s="4">
        <f t="shared" si="0"/>
        <v>19.529976318968579</v>
      </c>
      <c r="D27" s="4">
        <f t="shared" si="1"/>
        <v>-7.5299763189685791</v>
      </c>
    </row>
    <row r="28" spans="1:4" x14ac:dyDescent="0.25">
      <c r="A28" s="2">
        <v>142.9</v>
      </c>
      <c r="B28" s="2">
        <v>15</v>
      </c>
      <c r="C28" s="4">
        <f t="shared" si="0"/>
        <v>13.825579467006218</v>
      </c>
      <c r="D28" s="4">
        <f t="shared" si="1"/>
        <v>1.174420532993782</v>
      </c>
    </row>
    <row r="29" spans="1:4" x14ac:dyDescent="0.25">
      <c r="A29" s="2">
        <v>240.1</v>
      </c>
      <c r="B29" s="2">
        <v>15.9</v>
      </c>
      <c r="C29" s="4">
        <f t="shared" si="0"/>
        <v>18.446140917095732</v>
      </c>
      <c r="D29" s="4">
        <f t="shared" si="1"/>
        <v>-2.5461409170957321</v>
      </c>
    </row>
    <row r="30" spans="1:4" x14ac:dyDescent="0.25">
      <c r="A30" s="2">
        <v>248.8</v>
      </c>
      <c r="B30" s="2">
        <v>18.899999999999999</v>
      </c>
      <c r="C30" s="4">
        <f t="shared" si="0"/>
        <v>18.859709688863006</v>
      </c>
      <c r="D30" s="4">
        <f t="shared" si="1"/>
        <v>4.0290311136992329E-2</v>
      </c>
    </row>
    <row r="31" spans="1:4" x14ac:dyDescent="0.25">
      <c r="A31" s="2">
        <v>70.599999999999994</v>
      </c>
      <c r="B31" s="2">
        <v>10.5</v>
      </c>
      <c r="C31" s="4">
        <f t="shared" si="0"/>
        <v>10.388680363698896</v>
      </c>
      <c r="D31" s="4">
        <f t="shared" si="1"/>
        <v>0.1113196363011042</v>
      </c>
    </row>
    <row r="32" spans="1:4" x14ac:dyDescent="0.25">
      <c r="A32" s="2">
        <v>292.89999999999998</v>
      </c>
      <c r="B32" s="2">
        <v>21.4</v>
      </c>
      <c r="C32" s="4">
        <f t="shared" si="0"/>
        <v>20.956075531959172</v>
      </c>
      <c r="D32" s="4">
        <f t="shared" si="1"/>
        <v>0.44392446804082653</v>
      </c>
    </row>
    <row r="33" spans="1:4" x14ac:dyDescent="0.25">
      <c r="A33" s="2">
        <v>112.9</v>
      </c>
      <c r="B33" s="2">
        <v>11.9</v>
      </c>
      <c r="C33" s="4">
        <f t="shared" si="0"/>
        <v>12.399480254015629</v>
      </c>
      <c r="D33" s="4">
        <f t="shared" si="1"/>
        <v>-0.49948025401562823</v>
      </c>
    </row>
    <row r="34" spans="1:4" x14ac:dyDescent="0.25">
      <c r="A34" s="2">
        <v>97.2</v>
      </c>
      <c r="B34" s="2">
        <v>9.6</v>
      </c>
      <c r="C34" s="4">
        <f t="shared" si="0"/>
        <v>11.653154999217218</v>
      </c>
      <c r="D34" s="4">
        <f t="shared" si="1"/>
        <v>-2.0531549992172184</v>
      </c>
    </row>
    <row r="35" spans="1:4" x14ac:dyDescent="0.25">
      <c r="A35" s="2">
        <v>265.60000000000002</v>
      </c>
      <c r="B35" s="2">
        <v>17.399999999999999</v>
      </c>
      <c r="C35" s="4">
        <f t="shared" si="0"/>
        <v>19.658325248137736</v>
      </c>
      <c r="D35" s="4">
        <f t="shared" si="1"/>
        <v>-2.2583252481377372</v>
      </c>
    </row>
    <row r="36" spans="1:4" x14ac:dyDescent="0.25">
      <c r="A36" s="2">
        <v>95.7</v>
      </c>
      <c r="B36" s="2">
        <v>9.5</v>
      </c>
      <c r="C36" s="4">
        <f t="shared" si="0"/>
        <v>11.581850038567691</v>
      </c>
      <c r="D36" s="4">
        <f t="shared" si="1"/>
        <v>-2.0818500385676906</v>
      </c>
    </row>
    <row r="37" spans="1:4" x14ac:dyDescent="0.25">
      <c r="A37" s="2">
        <v>290.7</v>
      </c>
      <c r="B37" s="2">
        <v>12.8</v>
      </c>
      <c r="C37" s="4">
        <f t="shared" si="0"/>
        <v>20.851494923006527</v>
      </c>
      <c r="D37" s="4">
        <f t="shared" si="1"/>
        <v>-8.0514949230065262</v>
      </c>
    </row>
    <row r="38" spans="1:4" x14ac:dyDescent="0.25">
      <c r="A38" s="2">
        <v>266.89999999999998</v>
      </c>
      <c r="B38" s="2">
        <v>25.4</v>
      </c>
      <c r="C38" s="4">
        <f t="shared" si="0"/>
        <v>19.720122880700657</v>
      </c>
      <c r="D38" s="4">
        <f t="shared" si="1"/>
        <v>5.6798771192993414</v>
      </c>
    </row>
    <row r="39" spans="1:4" x14ac:dyDescent="0.25">
      <c r="A39" s="2">
        <v>74.7</v>
      </c>
      <c r="B39" s="2">
        <v>14.7</v>
      </c>
      <c r="C39" s="4">
        <f t="shared" si="0"/>
        <v>10.583580589474277</v>
      </c>
      <c r="D39" s="4">
        <f t="shared" si="1"/>
        <v>4.1164194105257224</v>
      </c>
    </row>
    <row r="40" spans="1:4" x14ac:dyDescent="0.25">
      <c r="A40" s="2">
        <v>43.1</v>
      </c>
      <c r="B40" s="2">
        <v>10.1</v>
      </c>
      <c r="C40" s="4">
        <f t="shared" si="0"/>
        <v>9.0814227517908535</v>
      </c>
      <c r="D40" s="4">
        <f t="shared" si="1"/>
        <v>1.0185772482091462</v>
      </c>
    </row>
    <row r="41" spans="1:4" x14ac:dyDescent="0.25">
      <c r="A41" s="2">
        <v>228</v>
      </c>
      <c r="B41" s="2">
        <v>21.5</v>
      </c>
      <c r="C41" s="4">
        <f t="shared" si="0"/>
        <v>17.870947567856192</v>
      </c>
      <c r="D41" s="4">
        <f t="shared" si="1"/>
        <v>3.6290524321438085</v>
      </c>
    </row>
    <row r="42" spans="1:4" x14ac:dyDescent="0.25">
      <c r="A42" s="2">
        <v>202.5</v>
      </c>
      <c r="B42" s="2">
        <v>16.600000000000001</v>
      </c>
      <c r="C42" s="4">
        <f t="shared" si="0"/>
        <v>16.658763236814192</v>
      </c>
      <c r="D42" s="4">
        <f t="shared" si="1"/>
        <v>-5.8763236814190378E-2</v>
      </c>
    </row>
    <row r="43" spans="1:4" x14ac:dyDescent="0.25">
      <c r="A43" s="2">
        <v>177</v>
      </c>
      <c r="B43" s="2">
        <v>17.100000000000001</v>
      </c>
      <c r="C43" s="4">
        <f t="shared" si="0"/>
        <v>15.44657890577219</v>
      </c>
      <c r="D43" s="4">
        <f t="shared" si="1"/>
        <v>1.6534210942278111</v>
      </c>
    </row>
    <row r="44" spans="1:4" x14ac:dyDescent="0.25">
      <c r="A44" s="2">
        <v>293.60000000000002</v>
      </c>
      <c r="B44" s="2">
        <v>20.7</v>
      </c>
      <c r="C44" s="4">
        <f t="shared" si="0"/>
        <v>20.989351180262286</v>
      </c>
      <c r="D44" s="4">
        <f t="shared" si="1"/>
        <v>-0.28935118026228679</v>
      </c>
    </row>
    <row r="45" spans="1:4" x14ac:dyDescent="0.25">
      <c r="A45" s="2">
        <v>206.9</v>
      </c>
      <c r="B45" s="2">
        <v>12.9</v>
      </c>
      <c r="C45" s="4">
        <f t="shared" si="0"/>
        <v>16.867924454719478</v>
      </c>
      <c r="D45" s="4">
        <f t="shared" si="1"/>
        <v>-3.9679244547194781</v>
      </c>
    </row>
    <row r="46" spans="1:4" x14ac:dyDescent="0.25">
      <c r="A46" s="2">
        <v>25.1</v>
      </c>
      <c r="B46" s="2">
        <v>8.5</v>
      </c>
      <c r="C46" s="4">
        <f t="shared" si="0"/>
        <v>8.2257632239965002</v>
      </c>
      <c r="D46" s="4">
        <f t="shared" si="1"/>
        <v>0.27423677600349983</v>
      </c>
    </row>
    <row r="47" spans="1:4" x14ac:dyDescent="0.25">
      <c r="A47" s="2">
        <v>175.1</v>
      </c>
      <c r="B47" s="2">
        <v>14.9</v>
      </c>
      <c r="C47" s="4">
        <f t="shared" si="0"/>
        <v>15.356259288949452</v>
      </c>
      <c r="D47" s="4">
        <f t="shared" si="1"/>
        <v>-0.45625928894945211</v>
      </c>
    </row>
    <row r="48" spans="1:4" x14ac:dyDescent="0.25">
      <c r="A48" s="2">
        <v>89.7</v>
      </c>
      <c r="B48" s="2">
        <v>10.6</v>
      </c>
      <c r="C48" s="4">
        <f t="shared" si="0"/>
        <v>11.296630195969572</v>
      </c>
      <c r="D48" s="4">
        <f t="shared" si="1"/>
        <v>-0.69663019596957199</v>
      </c>
    </row>
    <row r="49" spans="1:4" x14ac:dyDescent="0.25">
      <c r="A49" s="2">
        <v>239.9</v>
      </c>
      <c r="B49" s="2">
        <v>23.2</v>
      </c>
      <c r="C49" s="4">
        <f t="shared" si="0"/>
        <v>18.436633589009126</v>
      </c>
      <c r="D49" s="4">
        <f t="shared" si="1"/>
        <v>4.7633664109908729</v>
      </c>
    </row>
    <row r="50" spans="1:4" x14ac:dyDescent="0.25">
      <c r="A50" s="2">
        <v>227.2</v>
      </c>
      <c r="B50" s="2">
        <v>14.8</v>
      </c>
      <c r="C50" s="4">
        <f t="shared" si="0"/>
        <v>17.832918255509778</v>
      </c>
      <c r="D50" s="4">
        <f t="shared" si="1"/>
        <v>-3.0329182555097773</v>
      </c>
    </row>
    <row r="51" spans="1:4" x14ac:dyDescent="0.25">
      <c r="A51" s="2">
        <v>66.900000000000006</v>
      </c>
      <c r="B51" s="2">
        <v>9.6999999999999993</v>
      </c>
      <c r="C51" s="4">
        <f t="shared" si="0"/>
        <v>10.212794794096723</v>
      </c>
      <c r="D51" s="4">
        <f t="shared" si="1"/>
        <v>-0.5127947940967239</v>
      </c>
    </row>
    <row r="52" spans="1:4" x14ac:dyDescent="0.25">
      <c r="A52" s="2">
        <v>199.8</v>
      </c>
      <c r="B52" s="2">
        <v>11.4</v>
      </c>
      <c r="C52" s="4">
        <f t="shared" si="0"/>
        <v>16.530414307645039</v>
      </c>
      <c r="D52" s="4">
        <f t="shared" si="1"/>
        <v>-5.1304143076450384</v>
      </c>
    </row>
    <row r="53" spans="1:4" x14ac:dyDescent="0.25">
      <c r="A53" s="2">
        <v>100.4</v>
      </c>
      <c r="B53" s="2">
        <v>10.7</v>
      </c>
      <c r="C53" s="4">
        <f t="shared" si="0"/>
        <v>11.805272248602883</v>
      </c>
      <c r="D53" s="4">
        <f t="shared" si="1"/>
        <v>-1.1052722486028834</v>
      </c>
    </row>
    <row r="54" spans="1:4" x14ac:dyDescent="0.25">
      <c r="A54" s="2">
        <v>216.4</v>
      </c>
      <c r="B54" s="2">
        <v>22.6</v>
      </c>
      <c r="C54" s="4">
        <f t="shared" si="0"/>
        <v>17.319522538833166</v>
      </c>
      <c r="D54" s="4">
        <f t="shared" si="1"/>
        <v>5.2804774611668357</v>
      </c>
    </row>
    <row r="55" spans="1:4" x14ac:dyDescent="0.25">
      <c r="A55" s="2">
        <v>182.6</v>
      </c>
      <c r="B55" s="2">
        <v>21.2</v>
      </c>
      <c r="C55" s="4">
        <f t="shared" si="0"/>
        <v>15.712784092197101</v>
      </c>
      <c r="D55" s="4">
        <f t="shared" si="1"/>
        <v>5.4872159078028986</v>
      </c>
    </row>
    <row r="56" spans="1:4" x14ac:dyDescent="0.25">
      <c r="A56" s="2">
        <v>262.7</v>
      </c>
      <c r="B56" s="2">
        <v>20.2</v>
      </c>
      <c r="C56" s="4">
        <f t="shared" si="0"/>
        <v>19.520468990881977</v>
      </c>
      <c r="D56" s="4">
        <f t="shared" si="1"/>
        <v>0.67953100911802267</v>
      </c>
    </row>
    <row r="57" spans="1:4" x14ac:dyDescent="0.25">
      <c r="A57" s="2">
        <v>198.9</v>
      </c>
      <c r="B57" s="2">
        <v>23.7</v>
      </c>
      <c r="C57" s="4">
        <f t="shared" si="0"/>
        <v>16.487631331255322</v>
      </c>
      <c r="D57" s="4">
        <f t="shared" si="1"/>
        <v>7.2123686687446771</v>
      </c>
    </row>
    <row r="58" spans="1:4" x14ac:dyDescent="0.25">
      <c r="A58" s="2">
        <v>7.3</v>
      </c>
      <c r="B58" s="2">
        <v>5.5</v>
      </c>
      <c r="C58" s="4">
        <f t="shared" si="0"/>
        <v>7.3796110242887494</v>
      </c>
      <c r="D58" s="4">
        <f t="shared" si="1"/>
        <v>-1.8796110242887494</v>
      </c>
    </row>
    <row r="59" spans="1:4" x14ac:dyDescent="0.25">
      <c r="A59" s="2">
        <v>136.19999999999999</v>
      </c>
      <c r="B59" s="2">
        <v>13.2</v>
      </c>
      <c r="C59" s="4">
        <f t="shared" si="0"/>
        <v>13.507083976104987</v>
      </c>
      <c r="D59" s="4">
        <f t="shared" si="1"/>
        <v>-0.3070839761049875</v>
      </c>
    </row>
    <row r="60" spans="1:4" x14ac:dyDescent="0.25">
      <c r="A60" s="2">
        <v>210.8</v>
      </c>
      <c r="B60" s="2">
        <v>23.8</v>
      </c>
      <c r="C60" s="4">
        <f t="shared" si="0"/>
        <v>17.053317352408257</v>
      </c>
      <c r="D60" s="4">
        <f t="shared" si="1"/>
        <v>6.7466826475917436</v>
      </c>
    </row>
    <row r="61" spans="1:4" x14ac:dyDescent="0.25">
      <c r="A61" s="2">
        <v>210.7</v>
      </c>
      <c r="B61" s="2">
        <v>18.399999999999999</v>
      </c>
      <c r="C61" s="4">
        <f t="shared" si="0"/>
        <v>17.048563688364951</v>
      </c>
      <c r="D61" s="4">
        <f t="shared" si="1"/>
        <v>1.3514363116350481</v>
      </c>
    </row>
    <row r="62" spans="1:4" x14ac:dyDescent="0.25">
      <c r="A62" s="2">
        <v>53.5</v>
      </c>
      <c r="B62" s="2">
        <v>8.1</v>
      </c>
      <c r="C62" s="4">
        <f t="shared" si="0"/>
        <v>9.575803812294259</v>
      </c>
      <c r="D62" s="4">
        <f t="shared" si="1"/>
        <v>-1.4758038122942594</v>
      </c>
    </row>
    <row r="63" spans="1:4" x14ac:dyDescent="0.25">
      <c r="A63" s="2">
        <v>261.3</v>
      </c>
      <c r="B63" s="2">
        <v>24.2</v>
      </c>
      <c r="C63" s="4">
        <f t="shared" si="0"/>
        <v>19.453917694275752</v>
      </c>
      <c r="D63" s="4">
        <f t="shared" si="1"/>
        <v>4.7460823057242472</v>
      </c>
    </row>
    <row r="64" spans="1:4" x14ac:dyDescent="0.25">
      <c r="A64" s="2">
        <v>239.3</v>
      </c>
      <c r="B64" s="2">
        <v>15.7</v>
      </c>
      <c r="C64" s="4">
        <f t="shared" si="0"/>
        <v>18.408111604749315</v>
      </c>
      <c r="D64" s="4">
        <f t="shared" si="1"/>
        <v>-2.7081116047493161</v>
      </c>
    </row>
    <row r="65" spans="1:4" x14ac:dyDescent="0.25">
      <c r="A65" s="2">
        <v>102.7</v>
      </c>
      <c r="B65" s="2">
        <v>14</v>
      </c>
      <c r="C65" s="4">
        <f t="shared" si="0"/>
        <v>11.914606521598827</v>
      </c>
      <c r="D65" s="4">
        <f t="shared" si="1"/>
        <v>2.0853934784011727</v>
      </c>
    </row>
    <row r="66" spans="1:4" x14ac:dyDescent="0.25">
      <c r="A66" s="2">
        <v>131.1</v>
      </c>
      <c r="B66" s="2">
        <v>18</v>
      </c>
      <c r="C66" s="4">
        <f t="shared" si="0"/>
        <v>13.264647109896586</v>
      </c>
      <c r="D66" s="4">
        <f t="shared" si="1"/>
        <v>4.7353528901034139</v>
      </c>
    </row>
    <row r="67" spans="1:4" x14ac:dyDescent="0.25">
      <c r="A67" s="2">
        <v>69</v>
      </c>
      <c r="B67" s="2">
        <v>9.3000000000000007</v>
      </c>
      <c r="C67" s="4">
        <f t="shared" ref="C67:C130" si="2">$B$209 + ($B$210*A67)</f>
        <v>10.312621739006063</v>
      </c>
      <c r="D67" s="4">
        <f t="shared" ref="D67:D130" si="3">B67-C67</f>
        <v>-1.0126217390060628</v>
      </c>
    </row>
    <row r="68" spans="1:4" x14ac:dyDescent="0.25">
      <c r="A68" s="2">
        <v>31.5</v>
      </c>
      <c r="B68" s="2">
        <v>9.5</v>
      </c>
      <c r="C68" s="4">
        <f t="shared" si="2"/>
        <v>8.5299977227678259</v>
      </c>
      <c r="D68" s="4">
        <f t="shared" si="3"/>
        <v>0.97000227723217414</v>
      </c>
    </row>
    <row r="69" spans="1:4" x14ac:dyDescent="0.25">
      <c r="A69" s="2">
        <v>139.30000000000001</v>
      </c>
      <c r="B69" s="2">
        <v>13.4</v>
      </c>
      <c r="C69" s="4">
        <f t="shared" si="2"/>
        <v>13.654447561447348</v>
      </c>
      <c r="D69" s="4">
        <f t="shared" si="3"/>
        <v>-0.25444756144734804</v>
      </c>
    </row>
    <row r="70" spans="1:4" x14ac:dyDescent="0.25">
      <c r="A70" s="2">
        <v>237.4</v>
      </c>
      <c r="B70" s="2">
        <v>18.899999999999999</v>
      </c>
      <c r="C70" s="4">
        <f t="shared" si="2"/>
        <v>18.317791987926579</v>
      </c>
      <c r="D70" s="4">
        <f t="shared" si="3"/>
        <v>0.58220801207341921</v>
      </c>
    </row>
    <row r="71" spans="1:4" x14ac:dyDescent="0.25">
      <c r="A71" s="2">
        <v>216.8</v>
      </c>
      <c r="B71" s="2">
        <v>22.3</v>
      </c>
      <c r="C71" s="4">
        <f t="shared" si="2"/>
        <v>17.338537195006374</v>
      </c>
      <c r="D71" s="4">
        <f t="shared" si="3"/>
        <v>4.9614628049936265</v>
      </c>
    </row>
    <row r="72" spans="1:4" x14ac:dyDescent="0.25">
      <c r="A72" s="2">
        <v>199.1</v>
      </c>
      <c r="B72" s="2">
        <v>18.3</v>
      </c>
      <c r="C72" s="4">
        <f t="shared" si="2"/>
        <v>16.497138659341925</v>
      </c>
      <c r="D72" s="4">
        <f t="shared" si="3"/>
        <v>1.802861340658076</v>
      </c>
    </row>
    <row r="73" spans="1:4" x14ac:dyDescent="0.25">
      <c r="A73" s="2">
        <v>109.8</v>
      </c>
      <c r="B73" s="2">
        <v>12.4</v>
      </c>
      <c r="C73" s="4">
        <f t="shared" si="2"/>
        <v>12.252116668673267</v>
      </c>
      <c r="D73" s="4">
        <f t="shared" si="3"/>
        <v>0.14788333132673337</v>
      </c>
    </row>
    <row r="74" spans="1:4" x14ac:dyDescent="0.25">
      <c r="A74" s="2">
        <v>26.8</v>
      </c>
      <c r="B74" s="2">
        <v>8.8000000000000007</v>
      </c>
      <c r="C74" s="4">
        <f t="shared" si="2"/>
        <v>8.3065755127326337</v>
      </c>
      <c r="D74" s="4">
        <f t="shared" si="3"/>
        <v>0.49342448726736698</v>
      </c>
    </row>
    <row r="75" spans="1:4" x14ac:dyDescent="0.25">
      <c r="A75" s="2">
        <v>129.4</v>
      </c>
      <c r="B75" s="2">
        <v>11</v>
      </c>
      <c r="C75" s="4">
        <f t="shared" si="2"/>
        <v>13.183834821160453</v>
      </c>
      <c r="D75" s="4">
        <f t="shared" si="3"/>
        <v>-2.1838348211604526</v>
      </c>
    </row>
    <row r="76" spans="1:4" x14ac:dyDescent="0.25">
      <c r="A76" s="2">
        <v>213.4</v>
      </c>
      <c r="B76" s="2">
        <v>17</v>
      </c>
      <c r="C76" s="4">
        <f t="shared" si="2"/>
        <v>17.176912617534107</v>
      </c>
      <c r="D76" s="4">
        <f t="shared" si="3"/>
        <v>-0.17691261753410714</v>
      </c>
    </row>
    <row r="77" spans="1:4" x14ac:dyDescent="0.25">
      <c r="A77" s="2">
        <v>16.899999999999999</v>
      </c>
      <c r="B77" s="2">
        <v>8.6999999999999993</v>
      </c>
      <c r="C77" s="4">
        <f t="shared" si="2"/>
        <v>7.8359627724457379</v>
      </c>
      <c r="D77" s="4">
        <f t="shared" si="3"/>
        <v>0.86403722755426138</v>
      </c>
    </row>
    <row r="78" spans="1:4" x14ac:dyDescent="0.25">
      <c r="A78" s="2">
        <v>27.5</v>
      </c>
      <c r="B78" s="2">
        <v>6.9</v>
      </c>
      <c r="C78" s="4">
        <f t="shared" si="2"/>
        <v>8.339851161035746</v>
      </c>
      <c r="D78" s="4">
        <f t="shared" si="3"/>
        <v>-1.4398511610357456</v>
      </c>
    </row>
    <row r="79" spans="1:4" x14ac:dyDescent="0.25">
      <c r="A79" s="2">
        <v>120.5</v>
      </c>
      <c r="B79" s="2">
        <v>14.2</v>
      </c>
      <c r="C79" s="4">
        <f t="shared" si="2"/>
        <v>12.760758721306578</v>
      </c>
      <c r="D79" s="4">
        <f t="shared" si="3"/>
        <v>1.4392412786934212</v>
      </c>
    </row>
    <row r="80" spans="1:4" x14ac:dyDescent="0.25">
      <c r="A80" s="2">
        <v>5.4</v>
      </c>
      <c r="B80" s="2">
        <v>5.3</v>
      </c>
      <c r="C80" s="4">
        <f t="shared" si="2"/>
        <v>7.2892914074660116</v>
      </c>
      <c r="D80" s="4">
        <f t="shared" si="3"/>
        <v>-1.9892914074660117</v>
      </c>
    </row>
    <row r="81" spans="1:4" x14ac:dyDescent="0.25">
      <c r="A81" s="2">
        <v>116</v>
      </c>
      <c r="B81" s="2">
        <v>11</v>
      </c>
      <c r="C81" s="4">
        <f t="shared" si="2"/>
        <v>12.54684383935799</v>
      </c>
      <c r="D81" s="4">
        <f t="shared" si="3"/>
        <v>-1.5468438393579902</v>
      </c>
    </row>
    <row r="82" spans="1:4" x14ac:dyDescent="0.25">
      <c r="A82" s="2">
        <v>76.400000000000006</v>
      </c>
      <c r="B82" s="2">
        <v>11.8</v>
      </c>
      <c r="C82" s="4">
        <f t="shared" si="2"/>
        <v>10.66439287821041</v>
      </c>
      <c r="D82" s="4">
        <f t="shared" si="3"/>
        <v>1.1356071217895902</v>
      </c>
    </row>
    <row r="83" spans="1:4" x14ac:dyDescent="0.25">
      <c r="A83" s="2">
        <v>239.8</v>
      </c>
      <c r="B83" s="2">
        <v>12.3</v>
      </c>
      <c r="C83" s="4">
        <f t="shared" si="2"/>
        <v>18.431879924965827</v>
      </c>
      <c r="D83" s="4">
        <f t="shared" si="3"/>
        <v>-6.1318799249658262</v>
      </c>
    </row>
    <row r="84" spans="1:4" x14ac:dyDescent="0.25">
      <c r="A84" s="2">
        <v>75.3</v>
      </c>
      <c r="B84" s="2">
        <v>11.3</v>
      </c>
      <c r="C84" s="4">
        <f t="shared" si="2"/>
        <v>10.612102573734088</v>
      </c>
      <c r="D84" s="4">
        <f t="shared" si="3"/>
        <v>0.68789742626591277</v>
      </c>
    </row>
    <row r="85" spans="1:4" x14ac:dyDescent="0.25">
      <c r="A85" s="2">
        <v>68.400000000000006</v>
      </c>
      <c r="B85" s="2">
        <v>13.6</v>
      </c>
      <c r="C85" s="4">
        <f t="shared" si="2"/>
        <v>10.284099754746252</v>
      </c>
      <c r="D85" s="4">
        <f t="shared" si="3"/>
        <v>3.3159002452537472</v>
      </c>
    </row>
    <row r="86" spans="1:4" x14ac:dyDescent="0.25">
      <c r="A86" s="2">
        <v>213.5</v>
      </c>
      <c r="B86" s="2">
        <v>21.7</v>
      </c>
      <c r="C86" s="4">
        <f t="shared" si="2"/>
        <v>17.181666281577407</v>
      </c>
      <c r="D86" s="4">
        <f t="shared" si="3"/>
        <v>4.5183337184225927</v>
      </c>
    </row>
    <row r="87" spans="1:4" x14ac:dyDescent="0.25">
      <c r="A87" s="2">
        <v>193.2</v>
      </c>
      <c r="B87" s="2">
        <v>15.2</v>
      </c>
      <c r="C87" s="4">
        <f t="shared" si="2"/>
        <v>16.216672480787111</v>
      </c>
      <c r="D87" s="4">
        <f t="shared" si="3"/>
        <v>-1.0166724807871113</v>
      </c>
    </row>
    <row r="88" spans="1:4" x14ac:dyDescent="0.25">
      <c r="A88" s="2">
        <v>76.3</v>
      </c>
      <c r="B88" s="2">
        <v>12</v>
      </c>
      <c r="C88" s="4">
        <f t="shared" si="2"/>
        <v>10.659639214167107</v>
      </c>
      <c r="D88" s="4">
        <f t="shared" si="3"/>
        <v>1.3403607858328925</v>
      </c>
    </row>
    <row r="89" spans="1:4" x14ac:dyDescent="0.25">
      <c r="A89" s="2">
        <v>110.7</v>
      </c>
      <c r="B89" s="2">
        <v>16</v>
      </c>
      <c r="C89" s="4">
        <f t="shared" si="2"/>
        <v>12.294899645062985</v>
      </c>
      <c r="D89" s="4">
        <f t="shared" si="3"/>
        <v>3.7051003549370147</v>
      </c>
    </row>
    <row r="90" spans="1:4" x14ac:dyDescent="0.25">
      <c r="A90" s="2">
        <v>88.3</v>
      </c>
      <c r="B90" s="2">
        <v>12.9</v>
      </c>
      <c r="C90" s="4">
        <f t="shared" si="2"/>
        <v>11.230078899363344</v>
      </c>
      <c r="D90" s="4">
        <f t="shared" si="3"/>
        <v>1.6699211006366568</v>
      </c>
    </row>
    <row r="91" spans="1:4" x14ac:dyDescent="0.25">
      <c r="A91" s="2">
        <v>109.8</v>
      </c>
      <c r="B91" s="2">
        <v>16.7</v>
      </c>
      <c r="C91" s="4">
        <f t="shared" si="2"/>
        <v>12.252116668673267</v>
      </c>
      <c r="D91" s="4">
        <f t="shared" si="3"/>
        <v>4.4478833313267323</v>
      </c>
    </row>
    <row r="92" spans="1:4" x14ac:dyDescent="0.25">
      <c r="A92" s="2">
        <v>134.30000000000001</v>
      </c>
      <c r="B92" s="2">
        <v>11.2</v>
      </c>
      <c r="C92" s="4">
        <f t="shared" si="2"/>
        <v>13.416764359282251</v>
      </c>
      <c r="D92" s="4">
        <f t="shared" si="3"/>
        <v>-2.2167643592822515</v>
      </c>
    </row>
    <row r="93" spans="1:4" x14ac:dyDescent="0.25">
      <c r="A93" s="2">
        <v>28.6</v>
      </c>
      <c r="B93" s="2">
        <v>7.3</v>
      </c>
      <c r="C93" s="4">
        <f t="shared" si="2"/>
        <v>8.3921414655120685</v>
      </c>
      <c r="D93" s="4">
        <f t="shared" si="3"/>
        <v>-1.0921414655120687</v>
      </c>
    </row>
    <row r="94" spans="1:4" x14ac:dyDescent="0.25">
      <c r="A94" s="2">
        <v>217.7</v>
      </c>
      <c r="B94" s="2">
        <v>19.399999999999999</v>
      </c>
      <c r="C94" s="4">
        <f t="shared" si="2"/>
        <v>17.381320171396091</v>
      </c>
      <c r="D94" s="4">
        <f t="shared" si="3"/>
        <v>2.0186798286039078</v>
      </c>
    </row>
    <row r="95" spans="1:4" x14ac:dyDescent="0.25">
      <c r="A95" s="2">
        <v>250.9</v>
      </c>
      <c r="B95" s="2">
        <v>22.2</v>
      </c>
      <c r="C95" s="4">
        <f t="shared" si="2"/>
        <v>18.959536633772345</v>
      </c>
      <c r="D95" s="4">
        <f t="shared" si="3"/>
        <v>3.2404633662276545</v>
      </c>
    </row>
    <row r="96" spans="1:4" x14ac:dyDescent="0.25">
      <c r="A96" s="2">
        <v>107.4</v>
      </c>
      <c r="B96" s="2">
        <v>11.5</v>
      </c>
      <c r="C96" s="4">
        <f t="shared" si="2"/>
        <v>12.138028731634019</v>
      </c>
      <c r="D96" s="4">
        <f t="shared" si="3"/>
        <v>-0.63802873163401941</v>
      </c>
    </row>
    <row r="97" spans="1:4" x14ac:dyDescent="0.25">
      <c r="A97" s="2">
        <v>163.30000000000001</v>
      </c>
      <c r="B97" s="2">
        <v>16.899999999999999</v>
      </c>
      <c r="C97" s="4">
        <f t="shared" si="2"/>
        <v>14.795326931839821</v>
      </c>
      <c r="D97" s="4">
        <f t="shared" si="3"/>
        <v>2.104673068160178</v>
      </c>
    </row>
    <row r="98" spans="1:4" x14ac:dyDescent="0.25">
      <c r="A98" s="2">
        <v>197.6</v>
      </c>
      <c r="B98" s="2">
        <v>11.7</v>
      </c>
      <c r="C98" s="4">
        <f t="shared" si="2"/>
        <v>16.425833698692394</v>
      </c>
      <c r="D98" s="4">
        <f t="shared" si="3"/>
        <v>-4.7258336986923943</v>
      </c>
    </row>
    <row r="99" spans="1:4" x14ac:dyDescent="0.25">
      <c r="A99" s="2">
        <v>184.9</v>
      </c>
      <c r="B99" s="2">
        <v>15.5</v>
      </c>
      <c r="C99" s="4">
        <f t="shared" si="2"/>
        <v>15.822118365193045</v>
      </c>
      <c r="D99" s="4">
        <f t="shared" si="3"/>
        <v>-0.32211836519304526</v>
      </c>
    </row>
    <row r="100" spans="1:4" x14ac:dyDescent="0.25">
      <c r="A100" s="2">
        <v>289.7</v>
      </c>
      <c r="B100" s="2">
        <v>25.4</v>
      </c>
      <c r="C100" s="4">
        <f t="shared" si="2"/>
        <v>20.803958282573511</v>
      </c>
      <c r="D100" s="4">
        <f t="shared" si="3"/>
        <v>4.5960417174264876</v>
      </c>
    </row>
    <row r="101" spans="1:4" x14ac:dyDescent="0.25">
      <c r="A101" s="2">
        <v>135.19999999999999</v>
      </c>
      <c r="B101" s="2">
        <v>17.2</v>
      </c>
      <c r="C101" s="4">
        <f t="shared" si="2"/>
        <v>13.459547335671967</v>
      </c>
      <c r="D101" s="4">
        <f t="shared" si="3"/>
        <v>3.740452664328032</v>
      </c>
    </row>
    <row r="102" spans="1:4" x14ac:dyDescent="0.25">
      <c r="A102" s="2">
        <v>222.4</v>
      </c>
      <c r="B102" s="2">
        <v>11.7</v>
      </c>
      <c r="C102" s="4">
        <f t="shared" si="2"/>
        <v>17.604742381431286</v>
      </c>
      <c r="D102" s="4">
        <f t="shared" si="3"/>
        <v>-5.9047423814312872</v>
      </c>
    </row>
    <row r="103" spans="1:4" x14ac:dyDescent="0.25">
      <c r="A103" s="2">
        <v>296.39999999999998</v>
      </c>
      <c r="B103" s="2">
        <v>23.8</v>
      </c>
      <c r="C103" s="4">
        <f t="shared" si="2"/>
        <v>21.122453773474739</v>
      </c>
      <c r="D103" s="4">
        <f t="shared" si="3"/>
        <v>2.6775462265252621</v>
      </c>
    </row>
    <row r="104" spans="1:4" x14ac:dyDescent="0.25">
      <c r="A104" s="2">
        <v>280.2</v>
      </c>
      <c r="B104" s="2">
        <v>14.8</v>
      </c>
      <c r="C104" s="4">
        <f t="shared" si="2"/>
        <v>20.35236019845982</v>
      </c>
      <c r="D104" s="4">
        <f t="shared" si="3"/>
        <v>-5.5523601984598194</v>
      </c>
    </row>
    <row r="105" spans="1:4" x14ac:dyDescent="0.25">
      <c r="A105" s="2">
        <v>187.9</v>
      </c>
      <c r="B105" s="2">
        <v>14.7</v>
      </c>
      <c r="C105" s="4">
        <f t="shared" si="2"/>
        <v>15.964728286492106</v>
      </c>
      <c r="D105" s="4">
        <f t="shared" si="3"/>
        <v>-1.2647282864921063</v>
      </c>
    </row>
    <row r="106" spans="1:4" x14ac:dyDescent="0.25">
      <c r="A106" s="2">
        <v>238.2</v>
      </c>
      <c r="B106" s="2">
        <v>20.7</v>
      </c>
      <c r="C106" s="4">
        <f t="shared" si="2"/>
        <v>18.355821300272993</v>
      </c>
      <c r="D106" s="4">
        <f t="shared" si="3"/>
        <v>2.3441786997270064</v>
      </c>
    </row>
    <row r="107" spans="1:4" x14ac:dyDescent="0.25">
      <c r="A107" s="2">
        <v>137.9</v>
      </c>
      <c r="B107" s="2">
        <v>19.2</v>
      </c>
      <c r="C107" s="4">
        <f t="shared" si="2"/>
        <v>13.58789626484112</v>
      </c>
      <c r="D107" s="4">
        <f t="shared" si="3"/>
        <v>5.6121037351588789</v>
      </c>
    </row>
    <row r="108" spans="1:4" x14ac:dyDescent="0.25">
      <c r="A108" s="2">
        <v>25</v>
      </c>
      <c r="B108" s="2">
        <v>7.2</v>
      </c>
      <c r="C108" s="4">
        <f t="shared" si="2"/>
        <v>8.2210095599531972</v>
      </c>
      <c r="D108" s="4">
        <f t="shared" si="3"/>
        <v>-1.021009559953197</v>
      </c>
    </row>
    <row r="109" spans="1:4" x14ac:dyDescent="0.25">
      <c r="A109" s="2">
        <v>90.4</v>
      </c>
      <c r="B109" s="2">
        <v>8.6999999999999993</v>
      </c>
      <c r="C109" s="4">
        <f t="shared" si="2"/>
        <v>11.329905844272686</v>
      </c>
      <c r="D109" s="4">
        <f t="shared" si="3"/>
        <v>-2.6299058442726864</v>
      </c>
    </row>
    <row r="110" spans="1:4" x14ac:dyDescent="0.25">
      <c r="A110" s="2">
        <v>13.1</v>
      </c>
      <c r="B110" s="2">
        <v>5.3</v>
      </c>
      <c r="C110" s="4">
        <f t="shared" si="2"/>
        <v>7.6553235388002632</v>
      </c>
      <c r="D110" s="4">
        <f t="shared" si="3"/>
        <v>-2.3553235388002633</v>
      </c>
    </row>
    <row r="111" spans="1:4" x14ac:dyDescent="0.25">
      <c r="A111" s="2">
        <v>255.4</v>
      </c>
      <c r="B111" s="2">
        <v>19.8</v>
      </c>
      <c r="C111" s="4">
        <f t="shared" si="2"/>
        <v>19.173451515720934</v>
      </c>
      <c r="D111" s="4">
        <f t="shared" si="3"/>
        <v>0.62654848427906629</v>
      </c>
    </row>
    <row r="112" spans="1:4" x14ac:dyDescent="0.25">
      <c r="A112" s="2">
        <v>225.8</v>
      </c>
      <c r="B112" s="2">
        <v>13.4</v>
      </c>
      <c r="C112" s="4">
        <f t="shared" si="2"/>
        <v>17.766366958903554</v>
      </c>
      <c r="D112" s="4">
        <f t="shared" si="3"/>
        <v>-4.3663669589035532</v>
      </c>
    </row>
    <row r="113" spans="1:4" x14ac:dyDescent="0.25">
      <c r="A113" s="2">
        <v>241.7</v>
      </c>
      <c r="B113" s="2">
        <v>21.8</v>
      </c>
      <c r="C113" s="4">
        <f t="shared" si="2"/>
        <v>18.522199541788563</v>
      </c>
      <c r="D113" s="4">
        <f t="shared" si="3"/>
        <v>3.2778004582114377</v>
      </c>
    </row>
    <row r="114" spans="1:4" x14ac:dyDescent="0.25">
      <c r="A114" s="2">
        <v>175.7</v>
      </c>
      <c r="B114" s="2">
        <v>14.1</v>
      </c>
      <c r="C114" s="4">
        <f t="shared" si="2"/>
        <v>15.384781273209263</v>
      </c>
      <c r="D114" s="4">
        <f t="shared" si="3"/>
        <v>-1.2847812732092638</v>
      </c>
    </row>
    <row r="115" spans="1:4" x14ac:dyDescent="0.25">
      <c r="A115" s="2">
        <v>209.6</v>
      </c>
      <c r="B115" s="2">
        <v>15.9</v>
      </c>
      <c r="C115" s="4">
        <f t="shared" si="2"/>
        <v>16.996273383888632</v>
      </c>
      <c r="D115" s="4">
        <f t="shared" si="3"/>
        <v>-1.0962733838886312</v>
      </c>
    </row>
    <row r="116" spans="1:4" x14ac:dyDescent="0.25">
      <c r="A116" s="2">
        <v>78.2</v>
      </c>
      <c r="B116" s="2">
        <v>14.6</v>
      </c>
      <c r="C116" s="4">
        <f t="shared" si="2"/>
        <v>10.749958830989845</v>
      </c>
      <c r="D116" s="4">
        <f t="shared" si="3"/>
        <v>3.8500411690101544</v>
      </c>
    </row>
    <row r="117" spans="1:4" x14ac:dyDescent="0.25">
      <c r="A117" s="2">
        <v>75.099999999999994</v>
      </c>
      <c r="B117" s="2">
        <v>12.6</v>
      </c>
      <c r="C117" s="4">
        <f t="shared" si="2"/>
        <v>10.602595245647484</v>
      </c>
      <c r="D117" s="4">
        <f t="shared" si="3"/>
        <v>1.997404754352516</v>
      </c>
    </row>
    <row r="118" spans="1:4" x14ac:dyDescent="0.25">
      <c r="A118" s="2">
        <v>139.19999999999999</v>
      </c>
      <c r="B118" s="2">
        <v>12.2</v>
      </c>
      <c r="C118" s="4">
        <f t="shared" si="2"/>
        <v>13.649693897404045</v>
      </c>
      <c r="D118" s="4">
        <f t="shared" si="3"/>
        <v>-1.4496938974040461</v>
      </c>
    </row>
    <row r="119" spans="1:4" x14ac:dyDescent="0.25">
      <c r="A119" s="2">
        <v>76.400000000000006</v>
      </c>
      <c r="B119" s="2">
        <v>9.4</v>
      </c>
      <c r="C119" s="4">
        <f t="shared" si="2"/>
        <v>10.66439287821041</v>
      </c>
      <c r="D119" s="4">
        <f t="shared" si="3"/>
        <v>-1.2643928782104101</v>
      </c>
    </row>
    <row r="120" spans="1:4" x14ac:dyDescent="0.25">
      <c r="A120" s="2">
        <v>125.7</v>
      </c>
      <c r="B120" s="2">
        <v>15.9</v>
      </c>
      <c r="C120" s="4">
        <f t="shared" si="2"/>
        <v>13.00794925155828</v>
      </c>
      <c r="D120" s="4">
        <f t="shared" si="3"/>
        <v>2.8920507484417204</v>
      </c>
    </row>
    <row r="121" spans="1:4" x14ac:dyDescent="0.25">
      <c r="A121" s="2">
        <v>19.399999999999999</v>
      </c>
      <c r="B121" s="2">
        <v>6.6</v>
      </c>
      <c r="C121" s="4">
        <f t="shared" si="2"/>
        <v>7.9548043735282876</v>
      </c>
      <c r="D121" s="4">
        <f t="shared" si="3"/>
        <v>-1.354804373528288</v>
      </c>
    </row>
    <row r="122" spans="1:4" x14ac:dyDescent="0.25">
      <c r="A122" s="2">
        <v>141.30000000000001</v>
      </c>
      <c r="B122" s="2">
        <v>15.5</v>
      </c>
      <c r="C122" s="4">
        <f t="shared" si="2"/>
        <v>13.749520842313387</v>
      </c>
      <c r="D122" s="4">
        <f t="shared" si="3"/>
        <v>1.7504791576866126</v>
      </c>
    </row>
    <row r="123" spans="1:4" x14ac:dyDescent="0.25">
      <c r="A123" s="2">
        <v>18.8</v>
      </c>
      <c r="B123" s="2">
        <v>7</v>
      </c>
      <c r="C123" s="4">
        <f t="shared" si="2"/>
        <v>7.9262823892684757</v>
      </c>
      <c r="D123" s="4">
        <f t="shared" si="3"/>
        <v>-0.92628238926847573</v>
      </c>
    </row>
    <row r="124" spans="1:4" x14ac:dyDescent="0.25">
      <c r="A124" s="2">
        <v>224</v>
      </c>
      <c r="B124" s="2">
        <v>11.6</v>
      </c>
      <c r="C124" s="4">
        <f t="shared" si="2"/>
        <v>17.680801006124113</v>
      </c>
      <c r="D124" s="4">
        <f t="shared" si="3"/>
        <v>-6.0808010061241138</v>
      </c>
    </row>
    <row r="125" spans="1:4" x14ac:dyDescent="0.25">
      <c r="A125" s="2">
        <v>123.1</v>
      </c>
      <c r="B125" s="2">
        <v>15.2</v>
      </c>
      <c r="C125" s="4">
        <f t="shared" si="2"/>
        <v>12.88435398643243</v>
      </c>
      <c r="D125" s="4">
        <f t="shared" si="3"/>
        <v>2.3156460135675694</v>
      </c>
    </row>
    <row r="126" spans="1:4" x14ac:dyDescent="0.25">
      <c r="A126" s="2">
        <v>229.5</v>
      </c>
      <c r="B126" s="2">
        <v>19.7</v>
      </c>
      <c r="C126" s="4">
        <f t="shared" si="2"/>
        <v>17.942252528505726</v>
      </c>
      <c r="D126" s="4">
        <f t="shared" si="3"/>
        <v>1.7577474714942731</v>
      </c>
    </row>
    <row r="127" spans="1:4" x14ac:dyDescent="0.25">
      <c r="A127" s="2">
        <v>87.2</v>
      </c>
      <c r="B127" s="2">
        <v>10.6</v>
      </c>
      <c r="C127" s="4">
        <f t="shared" si="2"/>
        <v>11.177788594887023</v>
      </c>
      <c r="D127" s="4">
        <f t="shared" si="3"/>
        <v>-0.57778859488702317</v>
      </c>
    </row>
    <row r="128" spans="1:4" x14ac:dyDescent="0.25">
      <c r="A128" s="2">
        <v>7.8</v>
      </c>
      <c r="B128" s="2">
        <v>6.6</v>
      </c>
      <c r="C128" s="4">
        <f t="shared" si="2"/>
        <v>7.4033793445052591</v>
      </c>
      <c r="D128" s="4">
        <f t="shared" si="3"/>
        <v>-0.8033793445052595</v>
      </c>
    </row>
    <row r="129" spans="1:4" x14ac:dyDescent="0.25">
      <c r="A129" s="2">
        <v>80.2</v>
      </c>
      <c r="B129" s="2">
        <v>8.8000000000000007</v>
      </c>
      <c r="C129" s="4">
        <f t="shared" si="2"/>
        <v>10.845032111855884</v>
      </c>
      <c r="D129" s="4">
        <f t="shared" si="3"/>
        <v>-2.0450321118558836</v>
      </c>
    </row>
    <row r="130" spans="1:4" x14ac:dyDescent="0.25">
      <c r="A130" s="2">
        <v>220.3</v>
      </c>
      <c r="B130" s="2">
        <v>24.7</v>
      </c>
      <c r="C130" s="4">
        <f t="shared" si="2"/>
        <v>17.504915436521941</v>
      </c>
      <c r="D130" s="4">
        <f t="shared" si="3"/>
        <v>7.1950845634780585</v>
      </c>
    </row>
    <row r="131" spans="1:4" x14ac:dyDescent="0.25">
      <c r="A131" s="2">
        <v>59.6</v>
      </c>
      <c r="B131" s="2">
        <v>9.6999999999999993</v>
      </c>
      <c r="C131" s="4">
        <f t="shared" ref="C131:C194" si="4">$B$209 + ($B$210*A131)</f>
        <v>9.8657773189356792</v>
      </c>
      <c r="D131" s="4">
        <f t="shared" ref="D131:D194" si="5">B131-C131</f>
        <v>-0.16577731893567993</v>
      </c>
    </row>
    <row r="132" spans="1:4" x14ac:dyDescent="0.25">
      <c r="A132" s="2">
        <v>0.7</v>
      </c>
      <c r="B132" s="2">
        <v>1.6</v>
      </c>
      <c r="C132" s="4">
        <f t="shared" si="4"/>
        <v>7.0658691974308194</v>
      </c>
      <c r="D132" s="4">
        <f t="shared" si="5"/>
        <v>-5.4658691974308198</v>
      </c>
    </row>
    <row r="133" spans="1:4" x14ac:dyDescent="0.25">
      <c r="A133" s="2">
        <v>265.2</v>
      </c>
      <c r="B133" s="2">
        <v>12.7</v>
      </c>
      <c r="C133" s="4">
        <f t="shared" si="4"/>
        <v>19.639310591964524</v>
      </c>
      <c r="D133" s="4">
        <f t="shared" si="5"/>
        <v>-6.9393105919645244</v>
      </c>
    </row>
    <row r="134" spans="1:4" x14ac:dyDescent="0.25">
      <c r="A134" s="2">
        <v>8.4</v>
      </c>
      <c r="B134" s="2">
        <v>5.7</v>
      </c>
      <c r="C134" s="4">
        <f t="shared" si="4"/>
        <v>7.431901328765071</v>
      </c>
      <c r="D134" s="4">
        <f t="shared" si="5"/>
        <v>-1.7319013287650709</v>
      </c>
    </row>
    <row r="135" spans="1:4" x14ac:dyDescent="0.25">
      <c r="A135" s="2">
        <v>219.8</v>
      </c>
      <c r="B135" s="2">
        <v>19.600000000000001</v>
      </c>
      <c r="C135" s="4">
        <f t="shared" si="4"/>
        <v>17.481147116305433</v>
      </c>
      <c r="D135" s="4">
        <f t="shared" si="5"/>
        <v>2.1188528836945686</v>
      </c>
    </row>
    <row r="136" spans="1:4" x14ac:dyDescent="0.25">
      <c r="A136" s="2">
        <v>36.9</v>
      </c>
      <c r="B136" s="2">
        <v>10.8</v>
      </c>
      <c r="C136" s="4">
        <f t="shared" si="4"/>
        <v>8.786695581106132</v>
      </c>
      <c r="D136" s="4">
        <f t="shared" si="5"/>
        <v>2.0133044188938687</v>
      </c>
    </row>
    <row r="137" spans="1:4" x14ac:dyDescent="0.25">
      <c r="A137" s="2">
        <v>48.3</v>
      </c>
      <c r="B137" s="2">
        <v>11.6</v>
      </c>
      <c r="C137" s="4">
        <f t="shared" si="4"/>
        <v>9.3286132820425571</v>
      </c>
      <c r="D137" s="4">
        <f t="shared" si="5"/>
        <v>2.2713867179574425</v>
      </c>
    </row>
    <row r="138" spans="1:4" x14ac:dyDescent="0.25">
      <c r="A138" s="2">
        <v>25.6</v>
      </c>
      <c r="B138" s="2">
        <v>9.5</v>
      </c>
      <c r="C138" s="4">
        <f t="shared" si="4"/>
        <v>8.2495315442130099</v>
      </c>
      <c r="D138" s="4">
        <f t="shared" si="5"/>
        <v>1.2504684557869901</v>
      </c>
    </row>
    <row r="139" spans="1:4" x14ac:dyDescent="0.25">
      <c r="A139" s="2">
        <v>273.7</v>
      </c>
      <c r="B139" s="2">
        <v>20.8</v>
      </c>
      <c r="C139" s="4">
        <f t="shared" si="4"/>
        <v>20.043372035645191</v>
      </c>
      <c r="D139" s="4">
        <f t="shared" si="5"/>
        <v>0.75662796435480928</v>
      </c>
    </row>
    <row r="140" spans="1:4" x14ac:dyDescent="0.25">
      <c r="A140" s="2">
        <v>43</v>
      </c>
      <c r="B140" s="2">
        <v>9.6</v>
      </c>
      <c r="C140" s="4">
        <f t="shared" si="4"/>
        <v>9.0766690877475522</v>
      </c>
      <c r="D140" s="4">
        <f t="shared" si="5"/>
        <v>0.52333091225244743</v>
      </c>
    </row>
    <row r="141" spans="1:4" x14ac:dyDescent="0.25">
      <c r="A141" s="2">
        <v>184.9</v>
      </c>
      <c r="B141" s="2">
        <v>20.7</v>
      </c>
      <c r="C141" s="4">
        <f t="shared" si="4"/>
        <v>15.822118365193045</v>
      </c>
      <c r="D141" s="4">
        <f t="shared" si="5"/>
        <v>4.877881634806954</v>
      </c>
    </row>
    <row r="142" spans="1:4" x14ac:dyDescent="0.25">
      <c r="A142" s="2">
        <v>73.400000000000006</v>
      </c>
      <c r="B142" s="2">
        <v>10.9</v>
      </c>
      <c r="C142" s="4">
        <f t="shared" si="4"/>
        <v>10.52178295691135</v>
      </c>
      <c r="D142" s="4">
        <f t="shared" si="5"/>
        <v>0.37821704308865023</v>
      </c>
    </row>
    <row r="143" spans="1:4" x14ac:dyDescent="0.25">
      <c r="A143" s="2">
        <v>193.7</v>
      </c>
      <c r="B143" s="2">
        <v>19.2</v>
      </c>
      <c r="C143" s="4">
        <f t="shared" si="4"/>
        <v>16.240440801003619</v>
      </c>
      <c r="D143" s="4">
        <f t="shared" si="5"/>
        <v>2.9595591989963808</v>
      </c>
    </row>
    <row r="144" spans="1:4" x14ac:dyDescent="0.25">
      <c r="A144" s="2">
        <v>220.5</v>
      </c>
      <c r="B144" s="2">
        <v>20.100000000000001</v>
      </c>
      <c r="C144" s="4">
        <f t="shared" si="4"/>
        <v>17.514422764608547</v>
      </c>
      <c r="D144" s="4">
        <f t="shared" si="5"/>
        <v>2.5855772353914546</v>
      </c>
    </row>
    <row r="145" spans="1:4" x14ac:dyDescent="0.25">
      <c r="A145" s="2">
        <v>104.6</v>
      </c>
      <c r="B145" s="2">
        <v>10.4</v>
      </c>
      <c r="C145" s="4">
        <f t="shared" si="4"/>
        <v>12.004926138421563</v>
      </c>
      <c r="D145" s="4">
        <f t="shared" si="5"/>
        <v>-1.604926138421563</v>
      </c>
    </row>
    <row r="146" spans="1:4" x14ac:dyDescent="0.25">
      <c r="A146" s="2">
        <v>96.2</v>
      </c>
      <c r="B146" s="2">
        <v>11.4</v>
      </c>
      <c r="C146" s="4">
        <f t="shared" si="4"/>
        <v>11.605618358784199</v>
      </c>
      <c r="D146" s="4">
        <f t="shared" si="5"/>
        <v>-0.20561835878419821</v>
      </c>
    </row>
    <row r="147" spans="1:4" x14ac:dyDescent="0.25">
      <c r="A147" s="2">
        <v>140.30000000000001</v>
      </c>
      <c r="B147" s="2">
        <v>10.3</v>
      </c>
      <c r="C147" s="4">
        <f t="shared" si="4"/>
        <v>13.701984201880368</v>
      </c>
      <c r="D147" s="4">
        <f t="shared" si="5"/>
        <v>-3.4019842018803672</v>
      </c>
    </row>
    <row r="148" spans="1:4" x14ac:dyDescent="0.25">
      <c r="A148" s="2">
        <v>240.1</v>
      </c>
      <c r="B148" s="2">
        <v>13.2</v>
      </c>
      <c r="C148" s="4">
        <f t="shared" si="4"/>
        <v>18.446140917095732</v>
      </c>
      <c r="D148" s="4">
        <f t="shared" si="5"/>
        <v>-5.2461409170957332</v>
      </c>
    </row>
    <row r="149" spans="1:4" x14ac:dyDescent="0.25">
      <c r="A149" s="2">
        <v>243.2</v>
      </c>
      <c r="B149" s="2">
        <v>25.4</v>
      </c>
      <c r="C149" s="4">
        <f t="shared" si="4"/>
        <v>18.593504502438094</v>
      </c>
      <c r="D149" s="4">
        <f t="shared" si="5"/>
        <v>6.8064954975619045</v>
      </c>
    </row>
    <row r="150" spans="1:4" x14ac:dyDescent="0.25">
      <c r="A150" s="2">
        <v>38</v>
      </c>
      <c r="B150" s="2">
        <v>10.9</v>
      </c>
      <c r="C150" s="4">
        <f t="shared" si="4"/>
        <v>8.8389858855824528</v>
      </c>
      <c r="D150" s="4">
        <f t="shared" si="5"/>
        <v>2.0610141144175476</v>
      </c>
    </row>
    <row r="151" spans="1:4" x14ac:dyDescent="0.25">
      <c r="A151" s="2">
        <v>44.7</v>
      </c>
      <c r="B151" s="2">
        <v>10.1</v>
      </c>
      <c r="C151" s="4">
        <f t="shared" si="4"/>
        <v>9.1574813764836858</v>
      </c>
      <c r="D151" s="4">
        <f t="shared" si="5"/>
        <v>0.94251862351631388</v>
      </c>
    </row>
    <row r="152" spans="1:4" x14ac:dyDescent="0.25">
      <c r="A152" s="2">
        <v>280.7</v>
      </c>
      <c r="B152" s="2">
        <v>16.100000000000001</v>
      </c>
      <c r="C152" s="4">
        <f t="shared" si="4"/>
        <v>20.376128518676332</v>
      </c>
      <c r="D152" s="4">
        <f t="shared" si="5"/>
        <v>-4.2761285186763303</v>
      </c>
    </row>
    <row r="153" spans="1:4" x14ac:dyDescent="0.25">
      <c r="A153" s="2">
        <v>121</v>
      </c>
      <c r="B153" s="2">
        <v>11.6</v>
      </c>
      <c r="C153" s="4">
        <f t="shared" si="4"/>
        <v>12.784527041523088</v>
      </c>
      <c r="D153" s="4">
        <f t="shared" si="5"/>
        <v>-1.1845270415230882</v>
      </c>
    </row>
    <row r="154" spans="1:4" x14ac:dyDescent="0.25">
      <c r="A154" s="2">
        <v>197.6</v>
      </c>
      <c r="B154" s="2">
        <v>16.600000000000001</v>
      </c>
      <c r="C154" s="4">
        <f t="shared" si="4"/>
        <v>16.425833698692394</v>
      </c>
      <c r="D154" s="4">
        <f t="shared" si="5"/>
        <v>0.1741663013076078</v>
      </c>
    </row>
    <row r="155" spans="1:4" x14ac:dyDescent="0.25">
      <c r="A155" s="2">
        <v>171.3</v>
      </c>
      <c r="B155" s="2">
        <v>19</v>
      </c>
      <c r="C155" s="4">
        <f t="shared" si="4"/>
        <v>15.175620055303979</v>
      </c>
      <c r="D155" s="4">
        <f t="shared" si="5"/>
        <v>3.8243799446960214</v>
      </c>
    </row>
    <row r="156" spans="1:4" x14ac:dyDescent="0.25">
      <c r="A156" s="2">
        <v>187.8</v>
      </c>
      <c r="B156" s="2">
        <v>15.6</v>
      </c>
      <c r="C156" s="4">
        <f t="shared" si="4"/>
        <v>15.959974622448803</v>
      </c>
      <c r="D156" s="4">
        <f t="shared" si="5"/>
        <v>-0.35997462244880296</v>
      </c>
    </row>
    <row r="157" spans="1:4" x14ac:dyDescent="0.25">
      <c r="A157" s="2">
        <v>4.0999999999999996</v>
      </c>
      <c r="B157" s="2">
        <v>3.2</v>
      </c>
      <c r="C157" s="4">
        <f t="shared" si="4"/>
        <v>7.2274937749030865</v>
      </c>
      <c r="D157" s="4">
        <f t="shared" si="5"/>
        <v>-4.0274937749030864</v>
      </c>
    </row>
    <row r="158" spans="1:4" x14ac:dyDescent="0.25">
      <c r="A158" s="2">
        <v>93.9</v>
      </c>
      <c r="B158" s="2">
        <v>15.3</v>
      </c>
      <c r="C158" s="4">
        <f t="shared" si="4"/>
        <v>11.496284085788254</v>
      </c>
      <c r="D158" s="4">
        <f t="shared" si="5"/>
        <v>3.8037159142117467</v>
      </c>
    </row>
    <row r="159" spans="1:4" x14ac:dyDescent="0.25">
      <c r="A159" s="2">
        <v>149.80000000000001</v>
      </c>
      <c r="B159" s="2">
        <v>10.1</v>
      </c>
      <c r="C159" s="4">
        <f t="shared" si="4"/>
        <v>14.153582285994055</v>
      </c>
      <c r="D159" s="4">
        <f t="shared" si="5"/>
        <v>-4.0535822859940556</v>
      </c>
    </row>
    <row r="160" spans="1:4" x14ac:dyDescent="0.25">
      <c r="A160" s="2">
        <v>11.7</v>
      </c>
      <c r="B160" s="2">
        <v>7.3</v>
      </c>
      <c r="C160" s="4">
        <f t="shared" si="4"/>
        <v>7.588772242194036</v>
      </c>
      <c r="D160" s="4">
        <f t="shared" si="5"/>
        <v>-0.28877224219403619</v>
      </c>
    </row>
    <row r="161" spans="1:4" x14ac:dyDescent="0.25">
      <c r="A161" s="2">
        <v>131.69999999999999</v>
      </c>
      <c r="B161" s="2">
        <v>12.9</v>
      </c>
      <c r="C161" s="4">
        <f t="shared" si="4"/>
        <v>13.293169094156397</v>
      </c>
      <c r="D161" s="4">
        <f t="shared" si="5"/>
        <v>-0.39316909415639678</v>
      </c>
    </row>
    <row r="162" spans="1:4" x14ac:dyDescent="0.25">
      <c r="A162" s="2">
        <v>172.5</v>
      </c>
      <c r="B162" s="2">
        <v>14.4</v>
      </c>
      <c r="C162" s="4">
        <f t="shared" si="4"/>
        <v>15.232664023823601</v>
      </c>
      <c r="D162" s="4">
        <f t="shared" si="5"/>
        <v>-0.83266402382360027</v>
      </c>
    </row>
    <row r="163" spans="1:4" x14ac:dyDescent="0.25">
      <c r="A163" s="2">
        <v>85.7</v>
      </c>
      <c r="B163" s="2">
        <v>13.3</v>
      </c>
      <c r="C163" s="4">
        <f t="shared" si="4"/>
        <v>11.106483634237492</v>
      </c>
      <c r="D163" s="4">
        <f t="shared" si="5"/>
        <v>2.193516365762509</v>
      </c>
    </row>
    <row r="164" spans="1:4" x14ac:dyDescent="0.25">
      <c r="A164" s="2">
        <v>188.4</v>
      </c>
      <c r="B164" s="2">
        <v>14.9</v>
      </c>
      <c r="C164" s="4">
        <f t="shared" si="4"/>
        <v>15.988496606708615</v>
      </c>
      <c r="D164" s="4">
        <f t="shared" si="5"/>
        <v>-1.088496606708615</v>
      </c>
    </row>
    <row r="165" spans="1:4" x14ac:dyDescent="0.25">
      <c r="A165" s="2">
        <v>163.5</v>
      </c>
      <c r="B165" s="2">
        <v>18</v>
      </c>
      <c r="C165" s="4">
        <f t="shared" si="4"/>
        <v>14.804834259926423</v>
      </c>
      <c r="D165" s="4">
        <f t="shared" si="5"/>
        <v>3.1951657400735769</v>
      </c>
    </row>
    <row r="166" spans="1:4" x14ac:dyDescent="0.25">
      <c r="A166" s="2">
        <v>117.2</v>
      </c>
      <c r="B166" s="2">
        <v>11.9</v>
      </c>
      <c r="C166" s="4">
        <f t="shared" si="4"/>
        <v>12.603887807877612</v>
      </c>
      <c r="D166" s="4">
        <f t="shared" si="5"/>
        <v>-0.70388780787761185</v>
      </c>
    </row>
    <row r="167" spans="1:4" x14ac:dyDescent="0.25">
      <c r="A167" s="2">
        <v>234.5</v>
      </c>
      <c r="B167" s="2">
        <v>11.9</v>
      </c>
      <c r="C167" s="4">
        <f t="shared" si="4"/>
        <v>18.17993573067082</v>
      </c>
      <c r="D167" s="4">
        <f t="shared" si="5"/>
        <v>-6.2799357306708199</v>
      </c>
    </row>
    <row r="168" spans="1:4" x14ac:dyDescent="0.25">
      <c r="A168" s="2">
        <v>17.899999999999999</v>
      </c>
      <c r="B168" s="2">
        <v>8</v>
      </c>
      <c r="C168" s="4">
        <f t="shared" si="4"/>
        <v>7.8834994128787574</v>
      </c>
      <c r="D168" s="4">
        <f t="shared" si="5"/>
        <v>0.11650058712124256</v>
      </c>
    </row>
    <row r="169" spans="1:4" x14ac:dyDescent="0.25">
      <c r="A169" s="2">
        <v>206.8</v>
      </c>
      <c r="B169" s="2">
        <v>12.2</v>
      </c>
      <c r="C169" s="4">
        <f t="shared" si="4"/>
        <v>16.863170790676179</v>
      </c>
      <c r="D169" s="4">
        <f t="shared" si="5"/>
        <v>-4.6631707906761797</v>
      </c>
    </row>
    <row r="170" spans="1:4" x14ac:dyDescent="0.25">
      <c r="A170" s="2">
        <v>215.4</v>
      </c>
      <c r="B170" s="2">
        <v>17.100000000000001</v>
      </c>
      <c r="C170" s="4">
        <f t="shared" si="4"/>
        <v>17.271985898400146</v>
      </c>
      <c r="D170" s="4">
        <f t="shared" si="5"/>
        <v>-0.17198589840014478</v>
      </c>
    </row>
    <row r="171" spans="1:4" x14ac:dyDescent="0.25">
      <c r="A171" s="2">
        <v>284.3</v>
      </c>
      <c r="B171" s="2">
        <v>15</v>
      </c>
      <c r="C171" s="4">
        <f t="shared" si="4"/>
        <v>20.547260424235205</v>
      </c>
      <c r="D171" s="4">
        <f t="shared" si="5"/>
        <v>-5.5472604242352048</v>
      </c>
    </row>
    <row r="172" spans="1:4" x14ac:dyDescent="0.25">
      <c r="A172" s="2">
        <v>50</v>
      </c>
      <c r="B172" s="2">
        <v>8.4</v>
      </c>
      <c r="C172" s="4">
        <f t="shared" si="4"/>
        <v>9.4094255707786907</v>
      </c>
      <c r="D172" s="4">
        <f t="shared" si="5"/>
        <v>-1.0094255707786903</v>
      </c>
    </row>
    <row r="173" spans="1:4" x14ac:dyDescent="0.25">
      <c r="A173" s="2">
        <v>164.5</v>
      </c>
      <c r="B173" s="2">
        <v>14.5</v>
      </c>
      <c r="C173" s="4">
        <f t="shared" si="4"/>
        <v>14.852370900359444</v>
      </c>
      <c r="D173" s="4">
        <f t="shared" si="5"/>
        <v>-0.35237090035944441</v>
      </c>
    </row>
    <row r="174" spans="1:4" x14ac:dyDescent="0.25">
      <c r="A174" s="2">
        <v>19.600000000000001</v>
      </c>
      <c r="B174" s="2">
        <v>7.6</v>
      </c>
      <c r="C174" s="4">
        <f t="shared" si="4"/>
        <v>7.964311701614891</v>
      </c>
      <c r="D174" s="4">
        <f t="shared" si="5"/>
        <v>-0.36431170161489135</v>
      </c>
    </row>
    <row r="175" spans="1:4" x14ac:dyDescent="0.25">
      <c r="A175" s="2">
        <v>168.4</v>
      </c>
      <c r="B175" s="2">
        <v>11.7</v>
      </c>
      <c r="C175" s="4">
        <f t="shared" si="4"/>
        <v>15.037763798048221</v>
      </c>
      <c r="D175" s="4">
        <f t="shared" si="5"/>
        <v>-3.337763798048222</v>
      </c>
    </row>
    <row r="176" spans="1:4" x14ac:dyDescent="0.25">
      <c r="A176" s="2">
        <v>222.4</v>
      </c>
      <c r="B176" s="2">
        <v>11.5</v>
      </c>
      <c r="C176" s="4">
        <f t="shared" si="4"/>
        <v>17.604742381431286</v>
      </c>
      <c r="D176" s="4">
        <f t="shared" si="5"/>
        <v>-6.1047423814312864</v>
      </c>
    </row>
    <row r="177" spans="1:4" x14ac:dyDescent="0.25">
      <c r="A177" s="2">
        <v>276.89999999999998</v>
      </c>
      <c r="B177" s="2">
        <v>27</v>
      </c>
      <c r="C177" s="4">
        <f t="shared" si="4"/>
        <v>20.195489285030856</v>
      </c>
      <c r="D177" s="4">
        <f t="shared" si="5"/>
        <v>6.8045107149691439</v>
      </c>
    </row>
    <row r="178" spans="1:4" x14ac:dyDescent="0.25">
      <c r="A178" s="2">
        <v>248.4</v>
      </c>
      <c r="B178" s="2">
        <v>20.2</v>
      </c>
      <c r="C178" s="4">
        <f t="shared" si="4"/>
        <v>18.840695032689794</v>
      </c>
      <c r="D178" s="4">
        <f t="shared" si="5"/>
        <v>1.3593049673102051</v>
      </c>
    </row>
    <row r="179" spans="1:4" x14ac:dyDescent="0.25">
      <c r="A179" s="2">
        <v>170.2</v>
      </c>
      <c r="B179" s="2">
        <v>11.7</v>
      </c>
      <c r="C179" s="4">
        <f t="shared" si="4"/>
        <v>15.123329750827656</v>
      </c>
      <c r="D179" s="4">
        <f t="shared" si="5"/>
        <v>-3.4233297508276568</v>
      </c>
    </row>
    <row r="180" spans="1:4" x14ac:dyDescent="0.25">
      <c r="A180" s="2">
        <v>276.7</v>
      </c>
      <c r="B180" s="2">
        <v>11.8</v>
      </c>
      <c r="C180" s="4">
        <f t="shared" si="4"/>
        <v>20.185981956944254</v>
      </c>
      <c r="D180" s="4">
        <f t="shared" si="5"/>
        <v>-8.3859819569442529</v>
      </c>
    </row>
    <row r="181" spans="1:4" x14ac:dyDescent="0.25">
      <c r="A181" s="2">
        <v>165.6</v>
      </c>
      <c r="B181" s="2">
        <v>12.6</v>
      </c>
      <c r="C181" s="4">
        <f t="shared" si="4"/>
        <v>14.904661204835765</v>
      </c>
      <c r="D181" s="4">
        <f t="shared" si="5"/>
        <v>-2.3046612048357655</v>
      </c>
    </row>
    <row r="182" spans="1:4" x14ac:dyDescent="0.25">
      <c r="A182" s="2">
        <v>156.6</v>
      </c>
      <c r="B182" s="2">
        <v>10.5</v>
      </c>
      <c r="C182" s="4">
        <f t="shared" si="4"/>
        <v>14.476831440938589</v>
      </c>
      <c r="D182" s="4">
        <f t="shared" si="5"/>
        <v>-3.9768314409385894</v>
      </c>
    </row>
    <row r="183" spans="1:4" x14ac:dyDescent="0.25">
      <c r="A183" s="2">
        <v>218.5</v>
      </c>
      <c r="B183" s="2">
        <v>12.2</v>
      </c>
      <c r="C183" s="4">
        <f t="shared" si="4"/>
        <v>17.419349483742508</v>
      </c>
      <c r="D183" s="4">
        <f t="shared" si="5"/>
        <v>-5.2193494837425085</v>
      </c>
    </row>
    <row r="184" spans="1:4" x14ac:dyDescent="0.25">
      <c r="A184" s="2">
        <v>56.2</v>
      </c>
      <c r="B184" s="2">
        <v>8.6999999999999993</v>
      </c>
      <c r="C184" s="4">
        <f t="shared" si="4"/>
        <v>9.7041527414634121</v>
      </c>
      <c r="D184" s="4">
        <f t="shared" si="5"/>
        <v>-1.0041527414634128</v>
      </c>
    </row>
    <row r="185" spans="1:4" x14ac:dyDescent="0.25">
      <c r="A185" s="2">
        <v>287.60000000000002</v>
      </c>
      <c r="B185" s="2">
        <v>26.2</v>
      </c>
      <c r="C185" s="4">
        <f t="shared" si="4"/>
        <v>20.704131337664169</v>
      </c>
      <c r="D185" s="4">
        <f t="shared" si="5"/>
        <v>5.4958686623358304</v>
      </c>
    </row>
    <row r="186" spans="1:4" x14ac:dyDescent="0.25">
      <c r="A186" s="2">
        <v>253.8</v>
      </c>
      <c r="B186" s="2">
        <v>17.600000000000001</v>
      </c>
      <c r="C186" s="4">
        <f t="shared" si="4"/>
        <v>19.0973928910281</v>
      </c>
      <c r="D186" s="4">
        <f t="shared" si="5"/>
        <v>-1.4973928910280989</v>
      </c>
    </row>
    <row r="187" spans="1:4" x14ac:dyDescent="0.25">
      <c r="A187" s="2">
        <v>205</v>
      </c>
      <c r="B187" s="2">
        <v>22.6</v>
      </c>
      <c r="C187" s="4">
        <f t="shared" si="4"/>
        <v>16.777604837896739</v>
      </c>
      <c r="D187" s="4">
        <f t="shared" si="5"/>
        <v>5.8223951621032626</v>
      </c>
    </row>
    <row r="188" spans="1:4" x14ac:dyDescent="0.25">
      <c r="A188" s="2">
        <v>139.5</v>
      </c>
      <c r="B188" s="2">
        <v>10.3</v>
      </c>
      <c r="C188" s="4">
        <f t="shared" si="4"/>
        <v>13.663954889533951</v>
      </c>
      <c r="D188" s="4">
        <f t="shared" si="5"/>
        <v>-3.3639548895339502</v>
      </c>
    </row>
    <row r="189" spans="1:4" x14ac:dyDescent="0.25">
      <c r="A189" s="2">
        <v>191.1</v>
      </c>
      <c r="B189" s="2">
        <v>17.3</v>
      </c>
      <c r="C189" s="4">
        <f t="shared" si="4"/>
        <v>16.116845535877765</v>
      </c>
      <c r="D189" s="4">
        <f t="shared" si="5"/>
        <v>1.1831544641222358</v>
      </c>
    </row>
    <row r="190" spans="1:4" x14ac:dyDescent="0.25">
      <c r="A190" s="2">
        <v>286</v>
      </c>
      <c r="B190" s="2">
        <v>15.9</v>
      </c>
      <c r="C190" s="4">
        <f t="shared" si="4"/>
        <v>20.628072712971338</v>
      </c>
      <c r="D190" s="4">
        <f t="shared" si="5"/>
        <v>-4.728072712971338</v>
      </c>
    </row>
    <row r="191" spans="1:4" x14ac:dyDescent="0.25">
      <c r="A191" s="2">
        <v>18.7</v>
      </c>
      <c r="B191" s="2">
        <v>6.7</v>
      </c>
      <c r="C191" s="4">
        <f t="shared" si="4"/>
        <v>7.9215287252251736</v>
      </c>
      <c r="D191" s="4">
        <f t="shared" si="5"/>
        <v>-1.2215287252251734</v>
      </c>
    </row>
    <row r="192" spans="1:4" x14ac:dyDescent="0.25">
      <c r="A192" s="2">
        <v>39.5</v>
      </c>
      <c r="B192" s="2">
        <v>10.8</v>
      </c>
      <c r="C192" s="4">
        <f t="shared" si="4"/>
        <v>8.9102908462319839</v>
      </c>
      <c r="D192" s="4">
        <f t="shared" si="5"/>
        <v>1.8897091537680168</v>
      </c>
    </row>
    <row r="193" spans="1:4" x14ac:dyDescent="0.25">
      <c r="A193" s="2">
        <v>75.5</v>
      </c>
      <c r="B193" s="2">
        <v>9.9</v>
      </c>
      <c r="C193" s="4">
        <f t="shared" si="4"/>
        <v>10.621609901820692</v>
      </c>
      <c r="D193" s="4">
        <f t="shared" si="5"/>
        <v>-0.72160990182069185</v>
      </c>
    </row>
    <row r="194" spans="1:4" x14ac:dyDescent="0.25">
      <c r="A194" s="2">
        <v>17.2</v>
      </c>
      <c r="B194" s="2">
        <v>5.9</v>
      </c>
      <c r="C194" s="4">
        <f t="shared" si="4"/>
        <v>7.8502237645756443</v>
      </c>
      <c r="D194" s="4">
        <f t="shared" si="5"/>
        <v>-1.9502237645756439</v>
      </c>
    </row>
    <row r="195" spans="1:4" x14ac:dyDescent="0.25">
      <c r="A195" s="2">
        <v>166.8</v>
      </c>
      <c r="B195" s="2">
        <v>19.600000000000001</v>
      </c>
      <c r="C195" s="4">
        <f t="shared" ref="C195:C201" si="6">$B$209 + ($B$210*A195)</f>
        <v>14.961705173355391</v>
      </c>
      <c r="D195" s="4">
        <f t="shared" ref="D195:D201" si="7">B195-C195</f>
        <v>4.6382948266446107</v>
      </c>
    </row>
    <row r="196" spans="1:4" x14ac:dyDescent="0.25">
      <c r="A196" s="2">
        <v>149.69999999999999</v>
      </c>
      <c r="B196" s="2">
        <v>17.3</v>
      </c>
      <c r="C196" s="4">
        <f t="shared" si="6"/>
        <v>14.148828621950752</v>
      </c>
      <c r="D196" s="4">
        <f t="shared" si="7"/>
        <v>3.1511713780492485</v>
      </c>
    </row>
    <row r="197" spans="1:4" x14ac:dyDescent="0.25">
      <c r="A197" s="2">
        <v>38.200000000000003</v>
      </c>
      <c r="B197" s="2">
        <v>7.6</v>
      </c>
      <c r="C197" s="4">
        <f t="shared" si="6"/>
        <v>8.8484932136690571</v>
      </c>
      <c r="D197" s="4">
        <f t="shared" si="7"/>
        <v>-1.2484932136690574</v>
      </c>
    </row>
    <row r="198" spans="1:4" x14ac:dyDescent="0.25">
      <c r="A198" s="2">
        <v>94.2</v>
      </c>
      <c r="B198" s="2">
        <v>9.6999999999999993</v>
      </c>
      <c r="C198" s="4">
        <f t="shared" si="6"/>
        <v>11.51054507791816</v>
      </c>
      <c r="D198" s="4">
        <f t="shared" si="7"/>
        <v>-1.8105450779181602</v>
      </c>
    </row>
    <row r="199" spans="1:4" x14ac:dyDescent="0.25">
      <c r="A199" s="2">
        <v>177</v>
      </c>
      <c r="B199" s="2">
        <v>12.8</v>
      </c>
      <c r="C199" s="4">
        <f t="shared" si="6"/>
        <v>15.44657890577219</v>
      </c>
      <c r="D199" s="4">
        <f t="shared" si="7"/>
        <v>-2.6465789057721896</v>
      </c>
    </row>
    <row r="200" spans="1:4" x14ac:dyDescent="0.25">
      <c r="A200" s="2">
        <v>283.60000000000002</v>
      </c>
      <c r="B200" s="2">
        <v>25.5</v>
      </c>
      <c r="C200" s="4">
        <f t="shared" si="6"/>
        <v>20.513984775932087</v>
      </c>
      <c r="D200" s="4">
        <f t="shared" si="7"/>
        <v>4.9860152240679128</v>
      </c>
    </row>
    <row r="201" spans="1:4" x14ac:dyDescent="0.25">
      <c r="A201" s="2">
        <v>232.1</v>
      </c>
      <c r="B201" s="2">
        <v>13.4</v>
      </c>
      <c r="C201" s="4">
        <f t="shared" si="6"/>
        <v>18.065847793631576</v>
      </c>
      <c r="D201" s="4">
        <f t="shared" si="7"/>
        <v>-4.6658477936315759</v>
      </c>
    </row>
    <row r="202" spans="1:4" x14ac:dyDescent="0.25">
      <c r="A202" s="2"/>
      <c r="B202" s="2"/>
      <c r="C202" s="4"/>
      <c r="D202" s="4"/>
    </row>
    <row r="203" spans="1:4" x14ac:dyDescent="0.25">
      <c r="A203" s="2"/>
      <c r="B203" s="2"/>
      <c r="C203" s="4"/>
      <c r="D203" s="4"/>
    </row>
    <row r="204" spans="1:4" x14ac:dyDescent="0.25">
      <c r="A204" s="2" t="s">
        <v>4</v>
      </c>
      <c r="B204" s="2">
        <f>STDEV(A2:A201)</f>
        <v>85.854236314908121</v>
      </c>
      <c r="C204" s="4"/>
      <c r="D204" s="4"/>
    </row>
    <row r="205" spans="1:4" x14ac:dyDescent="0.25">
      <c r="A205" s="2" t="s">
        <v>5</v>
      </c>
      <c r="B205" s="2">
        <f>STDEV(B2:B202)</f>
        <v>5.2174565657104752</v>
      </c>
      <c r="C205" s="4"/>
      <c r="D205" s="4"/>
    </row>
    <row r="206" spans="1:4" x14ac:dyDescent="0.25">
      <c r="A206" s="2" t="s">
        <v>6</v>
      </c>
      <c r="B206" s="2">
        <f>_xlfn.COVARIANCE.S(A2:A201, B2:B201)</f>
        <v>350.39019472361798</v>
      </c>
      <c r="C206" s="4"/>
      <c r="D206" s="4"/>
    </row>
    <row r="207" spans="1:4" x14ac:dyDescent="0.25">
      <c r="A207" s="2" t="s">
        <v>7</v>
      </c>
      <c r="B207" s="2">
        <f>CORREL(A2:A201, B2:B201)</f>
        <v>0.78222442486160615</v>
      </c>
      <c r="C207" s="4"/>
      <c r="D207" s="4"/>
    </row>
    <row r="208" spans="1:4" x14ac:dyDescent="0.25">
      <c r="A208" s="2" t="s">
        <v>8</v>
      </c>
      <c r="B208" s="2">
        <f>POWER(B207,2)</f>
        <v>0.61187505085007055</v>
      </c>
      <c r="C208" s="4"/>
      <c r="D208" s="4"/>
    </row>
    <row r="209" spans="1:4" x14ac:dyDescent="0.25">
      <c r="A209" s="2" t="s">
        <v>9</v>
      </c>
      <c r="B209" s="2">
        <f>INTERCEPT(B2:B201, A2:A201)</f>
        <v>7.0325935491277054</v>
      </c>
      <c r="C209" s="4"/>
      <c r="D209" s="4"/>
    </row>
    <row r="210" spans="1:4" x14ac:dyDescent="0.25">
      <c r="A210" s="2" t="s">
        <v>10</v>
      </c>
      <c r="B210" s="2">
        <f>SLOPE(B2:B201, A2:A201)</f>
        <v>4.7536640433019688E-2</v>
      </c>
      <c r="C210" s="4"/>
      <c r="D210" s="4"/>
    </row>
    <row r="211" spans="1:4" x14ac:dyDescent="0.25">
      <c r="A211" s="2"/>
      <c r="B211" s="2"/>
      <c r="C211" s="4"/>
      <c r="D211" s="4"/>
    </row>
    <row r="212" spans="1:4" x14ac:dyDescent="0.25">
      <c r="A212" s="2" t="s">
        <v>11</v>
      </c>
      <c r="B212" s="2">
        <f>AVERAGE(A2:A201)</f>
        <v>147.04249999999999</v>
      </c>
      <c r="C212" s="4"/>
      <c r="D212" s="4"/>
    </row>
    <row r="213" spans="1:4" x14ac:dyDescent="0.25">
      <c r="A213" s="2" t="s">
        <v>12</v>
      </c>
      <c r="B213" s="2">
        <f>AVERAGE(B2:B201)</f>
        <v>14.022500000000003</v>
      </c>
      <c r="C213" s="4"/>
      <c r="D213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97BA-6016-4820-8031-395DEC10B35A}">
  <dimension ref="A1:H201"/>
  <sheetViews>
    <sheetView workbookViewId="0">
      <selection activeCell="K13" sqref="K13"/>
    </sheetView>
  </sheetViews>
  <sheetFormatPr defaultRowHeight="15" x14ac:dyDescent="0.25"/>
  <cols>
    <col min="1" max="1" width="20" customWidth="1"/>
    <col min="2" max="2" width="17.85546875" customWidth="1"/>
    <col min="4" max="4" width="17.85546875" customWidth="1"/>
    <col min="5" max="5" width="19.7109375" customWidth="1"/>
    <col min="7" max="7" width="19.7109375" customWidth="1"/>
    <col min="8" max="8" width="20.28515625" customWidth="1"/>
  </cols>
  <sheetData>
    <row r="1" spans="1:8" ht="30" x14ac:dyDescent="0.25">
      <c r="A1" s="3" t="s">
        <v>0</v>
      </c>
      <c r="B1" s="3" t="s">
        <v>1</v>
      </c>
    </row>
    <row r="2" spans="1:8" x14ac:dyDescent="0.25">
      <c r="A2" s="2">
        <v>230.1</v>
      </c>
      <c r="B2" s="2">
        <v>22.1</v>
      </c>
    </row>
    <row r="3" spans="1:8" x14ac:dyDescent="0.25">
      <c r="A3" s="2">
        <v>44.5</v>
      </c>
      <c r="B3" s="2">
        <v>10.4</v>
      </c>
    </row>
    <row r="4" spans="1:8" x14ac:dyDescent="0.25">
      <c r="A4" s="2">
        <v>17.2</v>
      </c>
      <c r="B4" s="2">
        <v>9.3000000000000007</v>
      </c>
      <c r="D4" s="5" t="s">
        <v>18</v>
      </c>
      <c r="E4" s="5">
        <f>AVERAGE(A2:A201)</f>
        <v>147.04249999999999</v>
      </c>
      <c r="G4" s="5" t="s">
        <v>19</v>
      </c>
      <c r="H4" s="5">
        <v>1.984</v>
      </c>
    </row>
    <row r="5" spans="1:8" x14ac:dyDescent="0.25">
      <c r="A5" s="2">
        <v>151.5</v>
      </c>
      <c r="B5" s="2">
        <v>18.5</v>
      </c>
      <c r="D5" s="5" t="s">
        <v>20</v>
      </c>
      <c r="E5" s="5">
        <f>_xlfn.STDEV.S(A2:A201)</f>
        <v>85.854236314908121</v>
      </c>
      <c r="G5" s="5" t="s">
        <v>21</v>
      </c>
      <c r="H5" s="5">
        <v>2.6259999999999999</v>
      </c>
    </row>
    <row r="6" spans="1:8" x14ac:dyDescent="0.25">
      <c r="A6" s="2">
        <v>180.8</v>
      </c>
      <c r="B6" s="2">
        <v>12.9</v>
      </c>
      <c r="D6" s="5" t="s">
        <v>22</v>
      </c>
      <c r="E6" s="5">
        <f>COUNT(A2:A201)</f>
        <v>200</v>
      </c>
    </row>
    <row r="7" spans="1:8" x14ac:dyDescent="0.25">
      <c r="A7" s="2">
        <v>8.6999999999999993</v>
      </c>
      <c r="B7" s="2">
        <v>7.2</v>
      </c>
      <c r="D7" s="5" t="s">
        <v>23</v>
      </c>
      <c r="E7" s="6">
        <v>0.95</v>
      </c>
    </row>
    <row r="8" spans="1:8" x14ac:dyDescent="0.25">
      <c r="A8" s="2">
        <v>57.5</v>
      </c>
      <c r="B8" s="2">
        <v>11.8</v>
      </c>
      <c r="D8" s="5" t="s">
        <v>23</v>
      </c>
      <c r="E8" s="6">
        <v>0.99</v>
      </c>
    </row>
    <row r="9" spans="1:8" x14ac:dyDescent="0.25">
      <c r="A9" s="2">
        <v>120.2</v>
      </c>
      <c r="B9" s="2">
        <v>13.2</v>
      </c>
      <c r="D9" s="5" t="s">
        <v>24</v>
      </c>
      <c r="E9" s="5">
        <f>E6-1</f>
        <v>199</v>
      </c>
    </row>
    <row r="10" spans="1:8" x14ac:dyDescent="0.25">
      <c r="A10" s="2">
        <v>8.6</v>
      </c>
      <c r="B10" s="2">
        <v>4.8</v>
      </c>
    </row>
    <row r="11" spans="1:8" x14ac:dyDescent="0.25">
      <c r="A11" s="2">
        <v>199.8</v>
      </c>
      <c r="B11" s="2">
        <v>10.6</v>
      </c>
      <c r="D11" s="5" t="s">
        <v>25</v>
      </c>
      <c r="E11" s="5">
        <f>H4*(E5/SQRT(E6))</f>
        <v>12.044489558065793</v>
      </c>
      <c r="G11" s="5" t="s">
        <v>26</v>
      </c>
      <c r="H11" s="5">
        <f>H5*(E5/SQRT(E6))</f>
        <v>15.941950392883454</v>
      </c>
    </row>
    <row r="12" spans="1:8" x14ac:dyDescent="0.25">
      <c r="A12" s="2">
        <v>66.099999999999994</v>
      </c>
      <c r="B12" s="2">
        <v>8.6</v>
      </c>
      <c r="D12" s="5" t="s">
        <v>27</v>
      </c>
      <c r="E12" s="5">
        <f>E4+E11</f>
        <v>159.0869895580658</v>
      </c>
      <c r="G12" s="5" t="s">
        <v>28</v>
      </c>
      <c r="H12" s="5">
        <f>E4+H11</f>
        <v>162.98445039288345</v>
      </c>
    </row>
    <row r="13" spans="1:8" x14ac:dyDescent="0.25">
      <c r="A13" s="2">
        <v>214.7</v>
      </c>
      <c r="B13" s="2">
        <v>17.399999999999999</v>
      </c>
      <c r="D13" s="5" t="s">
        <v>29</v>
      </c>
      <c r="E13" s="5">
        <f>E4-E11</f>
        <v>134.99801044193418</v>
      </c>
      <c r="G13" s="5" t="s">
        <v>30</v>
      </c>
      <c r="H13" s="5">
        <f>E4-H11</f>
        <v>131.10054960711653</v>
      </c>
    </row>
    <row r="14" spans="1:8" x14ac:dyDescent="0.25">
      <c r="A14" s="2">
        <v>23.8</v>
      </c>
      <c r="B14" s="2">
        <v>9.1999999999999993</v>
      </c>
    </row>
    <row r="15" spans="1:8" x14ac:dyDescent="0.25">
      <c r="A15" s="2">
        <v>97.5</v>
      </c>
      <c r="B15" s="2">
        <v>9.6999999999999993</v>
      </c>
      <c r="D15" s="5" t="s">
        <v>31</v>
      </c>
      <c r="E15" s="5" t="s">
        <v>32</v>
      </c>
      <c r="G15" s="5" t="s">
        <v>33</v>
      </c>
      <c r="H15" s="5" t="s">
        <v>34</v>
      </c>
    </row>
    <row r="16" spans="1:8" x14ac:dyDescent="0.25">
      <c r="A16" s="2">
        <v>204.1</v>
      </c>
      <c r="B16" s="2">
        <v>19</v>
      </c>
    </row>
    <row r="17" spans="1:2" x14ac:dyDescent="0.25">
      <c r="A17" s="2">
        <v>195.4</v>
      </c>
      <c r="B17" s="2">
        <v>22.4</v>
      </c>
    </row>
    <row r="18" spans="1:2" x14ac:dyDescent="0.25">
      <c r="A18" s="2">
        <v>67.8</v>
      </c>
      <c r="B18" s="2">
        <v>12.5</v>
      </c>
    </row>
    <row r="19" spans="1:2" x14ac:dyDescent="0.25">
      <c r="A19" s="2">
        <v>281.39999999999998</v>
      </c>
      <c r="B19" s="2">
        <v>24.4</v>
      </c>
    </row>
    <row r="20" spans="1:2" x14ac:dyDescent="0.25">
      <c r="A20" s="2">
        <v>69.2</v>
      </c>
      <c r="B20" s="2">
        <v>11.3</v>
      </c>
    </row>
    <row r="21" spans="1:2" x14ac:dyDescent="0.25">
      <c r="A21" s="2">
        <v>147.30000000000001</v>
      </c>
      <c r="B21" s="2">
        <v>14.6</v>
      </c>
    </row>
    <row r="22" spans="1:2" x14ac:dyDescent="0.25">
      <c r="A22" s="2">
        <v>218.4</v>
      </c>
      <c r="B22" s="2">
        <v>18</v>
      </c>
    </row>
    <row r="23" spans="1:2" x14ac:dyDescent="0.25">
      <c r="A23" s="2">
        <v>237.4</v>
      </c>
      <c r="B23" s="2">
        <v>12.5</v>
      </c>
    </row>
    <row r="24" spans="1:2" x14ac:dyDescent="0.25">
      <c r="A24" s="2">
        <v>13.2</v>
      </c>
      <c r="B24" s="2">
        <v>5.6</v>
      </c>
    </row>
    <row r="25" spans="1:2" x14ac:dyDescent="0.25">
      <c r="A25" s="2">
        <v>228.3</v>
      </c>
      <c r="B25" s="2">
        <v>15.5</v>
      </c>
    </row>
    <row r="26" spans="1:2" x14ac:dyDescent="0.25">
      <c r="A26" s="2">
        <v>62.3</v>
      </c>
      <c r="B26" s="2">
        <v>9.6999999999999993</v>
      </c>
    </row>
    <row r="27" spans="1:2" x14ac:dyDescent="0.25">
      <c r="A27" s="2">
        <v>262.89999999999998</v>
      </c>
      <c r="B27" s="2">
        <v>12</v>
      </c>
    </row>
    <row r="28" spans="1:2" x14ac:dyDescent="0.25">
      <c r="A28" s="2">
        <v>142.9</v>
      </c>
      <c r="B28" s="2">
        <v>15</v>
      </c>
    </row>
    <row r="29" spans="1:2" x14ac:dyDescent="0.25">
      <c r="A29" s="2">
        <v>240.1</v>
      </c>
      <c r="B29" s="2">
        <v>15.9</v>
      </c>
    </row>
    <row r="30" spans="1:2" x14ac:dyDescent="0.25">
      <c r="A30" s="2">
        <v>248.8</v>
      </c>
      <c r="B30" s="2">
        <v>18.899999999999999</v>
      </c>
    </row>
    <row r="31" spans="1:2" x14ac:dyDescent="0.25">
      <c r="A31" s="2">
        <v>70.599999999999994</v>
      </c>
      <c r="B31" s="2">
        <v>10.5</v>
      </c>
    </row>
    <row r="32" spans="1:2" x14ac:dyDescent="0.25">
      <c r="A32" s="2">
        <v>292.89999999999998</v>
      </c>
      <c r="B32" s="2">
        <v>21.4</v>
      </c>
    </row>
    <row r="33" spans="1:2" x14ac:dyDescent="0.25">
      <c r="A33" s="2">
        <v>112.9</v>
      </c>
      <c r="B33" s="2">
        <v>11.9</v>
      </c>
    </row>
    <row r="34" spans="1:2" x14ac:dyDescent="0.25">
      <c r="A34" s="2">
        <v>97.2</v>
      </c>
      <c r="B34" s="2">
        <v>9.6</v>
      </c>
    </row>
    <row r="35" spans="1:2" x14ac:dyDescent="0.25">
      <c r="A35" s="2">
        <v>265.60000000000002</v>
      </c>
      <c r="B35" s="2">
        <v>17.399999999999999</v>
      </c>
    </row>
    <row r="36" spans="1:2" x14ac:dyDescent="0.25">
      <c r="A36" s="2">
        <v>95.7</v>
      </c>
      <c r="B36" s="2">
        <v>9.5</v>
      </c>
    </row>
    <row r="37" spans="1:2" x14ac:dyDescent="0.25">
      <c r="A37" s="2">
        <v>290.7</v>
      </c>
      <c r="B37" s="2">
        <v>12.8</v>
      </c>
    </row>
    <row r="38" spans="1:2" x14ac:dyDescent="0.25">
      <c r="A38" s="2">
        <v>266.89999999999998</v>
      </c>
      <c r="B38" s="2">
        <v>25.4</v>
      </c>
    </row>
    <row r="39" spans="1:2" x14ac:dyDescent="0.25">
      <c r="A39" s="2">
        <v>74.7</v>
      </c>
      <c r="B39" s="2">
        <v>14.7</v>
      </c>
    </row>
    <row r="40" spans="1:2" x14ac:dyDescent="0.25">
      <c r="A40" s="2">
        <v>43.1</v>
      </c>
      <c r="B40" s="2">
        <v>10.1</v>
      </c>
    </row>
    <row r="41" spans="1:2" x14ac:dyDescent="0.25">
      <c r="A41" s="2">
        <v>228</v>
      </c>
      <c r="B41" s="2">
        <v>21.5</v>
      </c>
    </row>
    <row r="42" spans="1:2" x14ac:dyDescent="0.25">
      <c r="A42" s="2">
        <v>202.5</v>
      </c>
      <c r="B42" s="2">
        <v>16.600000000000001</v>
      </c>
    </row>
    <row r="43" spans="1:2" x14ac:dyDescent="0.25">
      <c r="A43" s="2">
        <v>177</v>
      </c>
      <c r="B43" s="2">
        <v>17.100000000000001</v>
      </c>
    </row>
    <row r="44" spans="1:2" x14ac:dyDescent="0.25">
      <c r="A44" s="2">
        <v>293.60000000000002</v>
      </c>
      <c r="B44" s="2">
        <v>20.7</v>
      </c>
    </row>
    <row r="45" spans="1:2" x14ac:dyDescent="0.25">
      <c r="A45" s="2">
        <v>206.9</v>
      </c>
      <c r="B45" s="2">
        <v>12.9</v>
      </c>
    </row>
    <row r="46" spans="1:2" x14ac:dyDescent="0.25">
      <c r="A46" s="2">
        <v>25.1</v>
      </c>
      <c r="B46" s="2">
        <v>8.5</v>
      </c>
    </row>
    <row r="47" spans="1:2" x14ac:dyDescent="0.25">
      <c r="A47" s="2">
        <v>175.1</v>
      </c>
      <c r="B47" s="2">
        <v>14.9</v>
      </c>
    </row>
    <row r="48" spans="1:2" x14ac:dyDescent="0.25">
      <c r="A48" s="2">
        <v>89.7</v>
      </c>
      <c r="B48" s="2">
        <v>10.6</v>
      </c>
    </row>
    <row r="49" spans="1:2" x14ac:dyDescent="0.25">
      <c r="A49" s="2">
        <v>239.9</v>
      </c>
      <c r="B49" s="2">
        <v>23.2</v>
      </c>
    </row>
    <row r="50" spans="1:2" x14ac:dyDescent="0.25">
      <c r="A50" s="2">
        <v>227.2</v>
      </c>
      <c r="B50" s="2">
        <v>14.8</v>
      </c>
    </row>
    <row r="51" spans="1:2" x14ac:dyDescent="0.25">
      <c r="A51" s="2">
        <v>66.900000000000006</v>
      </c>
      <c r="B51" s="2">
        <v>9.6999999999999993</v>
      </c>
    </row>
    <row r="52" spans="1:2" x14ac:dyDescent="0.25">
      <c r="A52" s="2">
        <v>199.8</v>
      </c>
      <c r="B52" s="2">
        <v>11.4</v>
      </c>
    </row>
    <row r="53" spans="1:2" x14ac:dyDescent="0.25">
      <c r="A53" s="2">
        <v>100.4</v>
      </c>
      <c r="B53" s="2">
        <v>10.7</v>
      </c>
    </row>
    <row r="54" spans="1:2" x14ac:dyDescent="0.25">
      <c r="A54" s="2">
        <v>216.4</v>
      </c>
      <c r="B54" s="2">
        <v>22.6</v>
      </c>
    </row>
    <row r="55" spans="1:2" x14ac:dyDescent="0.25">
      <c r="A55" s="2">
        <v>182.6</v>
      </c>
      <c r="B55" s="2">
        <v>21.2</v>
      </c>
    </row>
    <row r="56" spans="1:2" x14ac:dyDescent="0.25">
      <c r="A56" s="2">
        <v>262.7</v>
      </c>
      <c r="B56" s="2">
        <v>20.2</v>
      </c>
    </row>
    <row r="57" spans="1:2" x14ac:dyDescent="0.25">
      <c r="A57" s="2">
        <v>198.9</v>
      </c>
      <c r="B57" s="2">
        <v>23.7</v>
      </c>
    </row>
    <row r="58" spans="1:2" x14ac:dyDescent="0.25">
      <c r="A58" s="2">
        <v>7.3</v>
      </c>
      <c r="B58" s="2">
        <v>5.5</v>
      </c>
    </row>
    <row r="59" spans="1:2" x14ac:dyDescent="0.25">
      <c r="A59" s="2">
        <v>136.19999999999999</v>
      </c>
      <c r="B59" s="2">
        <v>13.2</v>
      </c>
    </row>
    <row r="60" spans="1:2" x14ac:dyDescent="0.25">
      <c r="A60" s="2">
        <v>210.8</v>
      </c>
      <c r="B60" s="2">
        <v>23.8</v>
      </c>
    </row>
    <row r="61" spans="1:2" x14ac:dyDescent="0.25">
      <c r="A61" s="2">
        <v>210.7</v>
      </c>
      <c r="B61" s="2">
        <v>18.399999999999999</v>
      </c>
    </row>
    <row r="62" spans="1:2" x14ac:dyDescent="0.25">
      <c r="A62" s="2">
        <v>53.5</v>
      </c>
      <c r="B62" s="2">
        <v>8.1</v>
      </c>
    </row>
    <row r="63" spans="1:2" x14ac:dyDescent="0.25">
      <c r="A63" s="2">
        <v>261.3</v>
      </c>
      <c r="B63" s="2">
        <v>24.2</v>
      </c>
    </row>
    <row r="64" spans="1:2" x14ac:dyDescent="0.25">
      <c r="A64" s="2">
        <v>239.3</v>
      </c>
      <c r="B64" s="2">
        <v>15.7</v>
      </c>
    </row>
    <row r="65" spans="1:2" x14ac:dyDescent="0.25">
      <c r="A65" s="2">
        <v>102.7</v>
      </c>
      <c r="B65" s="2">
        <v>14</v>
      </c>
    </row>
    <row r="66" spans="1:2" x14ac:dyDescent="0.25">
      <c r="A66" s="2">
        <v>131.1</v>
      </c>
      <c r="B66" s="2">
        <v>18</v>
      </c>
    </row>
    <row r="67" spans="1:2" x14ac:dyDescent="0.25">
      <c r="A67" s="2">
        <v>69</v>
      </c>
      <c r="B67" s="2">
        <v>9.3000000000000007</v>
      </c>
    </row>
    <row r="68" spans="1:2" x14ac:dyDescent="0.25">
      <c r="A68" s="2">
        <v>31.5</v>
      </c>
      <c r="B68" s="2">
        <v>9.5</v>
      </c>
    </row>
    <row r="69" spans="1:2" x14ac:dyDescent="0.25">
      <c r="A69" s="2">
        <v>139.30000000000001</v>
      </c>
      <c r="B69" s="2">
        <v>13.4</v>
      </c>
    </row>
    <row r="70" spans="1:2" x14ac:dyDescent="0.25">
      <c r="A70" s="2">
        <v>237.4</v>
      </c>
      <c r="B70" s="2">
        <v>18.899999999999999</v>
      </c>
    </row>
    <row r="71" spans="1:2" x14ac:dyDescent="0.25">
      <c r="A71" s="2">
        <v>216.8</v>
      </c>
      <c r="B71" s="2">
        <v>22.3</v>
      </c>
    </row>
    <row r="72" spans="1:2" x14ac:dyDescent="0.25">
      <c r="A72" s="2">
        <v>199.1</v>
      </c>
      <c r="B72" s="2">
        <v>18.3</v>
      </c>
    </row>
    <row r="73" spans="1:2" x14ac:dyDescent="0.25">
      <c r="A73" s="2">
        <v>109.8</v>
      </c>
      <c r="B73" s="2">
        <v>12.4</v>
      </c>
    </row>
    <row r="74" spans="1:2" x14ac:dyDescent="0.25">
      <c r="A74" s="2">
        <v>26.8</v>
      </c>
      <c r="B74" s="2">
        <v>8.8000000000000007</v>
      </c>
    </row>
    <row r="75" spans="1:2" x14ac:dyDescent="0.25">
      <c r="A75" s="2">
        <v>129.4</v>
      </c>
      <c r="B75" s="2">
        <v>11</v>
      </c>
    </row>
    <row r="76" spans="1:2" x14ac:dyDescent="0.25">
      <c r="A76" s="2">
        <v>213.4</v>
      </c>
      <c r="B76" s="2">
        <v>17</v>
      </c>
    </row>
    <row r="77" spans="1:2" x14ac:dyDescent="0.25">
      <c r="A77" s="2">
        <v>16.899999999999999</v>
      </c>
      <c r="B77" s="2">
        <v>8.6999999999999993</v>
      </c>
    </row>
    <row r="78" spans="1:2" x14ac:dyDescent="0.25">
      <c r="A78" s="2">
        <v>27.5</v>
      </c>
      <c r="B78" s="2">
        <v>6.9</v>
      </c>
    </row>
    <row r="79" spans="1:2" x14ac:dyDescent="0.25">
      <c r="A79" s="2">
        <v>120.5</v>
      </c>
      <c r="B79" s="2">
        <v>14.2</v>
      </c>
    </row>
    <row r="80" spans="1:2" x14ac:dyDescent="0.25">
      <c r="A80" s="2">
        <v>5.4</v>
      </c>
      <c r="B80" s="2">
        <v>5.3</v>
      </c>
    </row>
    <row r="81" spans="1:2" x14ac:dyDescent="0.25">
      <c r="A81" s="2">
        <v>116</v>
      </c>
      <c r="B81" s="2">
        <v>11</v>
      </c>
    </row>
    <row r="82" spans="1:2" x14ac:dyDescent="0.25">
      <c r="A82" s="2">
        <v>76.400000000000006</v>
      </c>
      <c r="B82" s="2">
        <v>11.8</v>
      </c>
    </row>
    <row r="83" spans="1:2" x14ac:dyDescent="0.25">
      <c r="A83" s="2">
        <v>239.8</v>
      </c>
      <c r="B83" s="2">
        <v>12.3</v>
      </c>
    </row>
    <row r="84" spans="1:2" x14ac:dyDescent="0.25">
      <c r="A84" s="2">
        <v>75.3</v>
      </c>
      <c r="B84" s="2">
        <v>11.3</v>
      </c>
    </row>
    <row r="85" spans="1:2" x14ac:dyDescent="0.25">
      <c r="A85" s="2">
        <v>68.400000000000006</v>
      </c>
      <c r="B85" s="2">
        <v>13.6</v>
      </c>
    </row>
    <row r="86" spans="1:2" x14ac:dyDescent="0.25">
      <c r="A86" s="2">
        <v>213.5</v>
      </c>
      <c r="B86" s="2">
        <v>21.7</v>
      </c>
    </row>
    <row r="87" spans="1:2" x14ac:dyDescent="0.25">
      <c r="A87" s="2">
        <v>193.2</v>
      </c>
      <c r="B87" s="2">
        <v>15.2</v>
      </c>
    </row>
    <row r="88" spans="1:2" x14ac:dyDescent="0.25">
      <c r="A88" s="2">
        <v>76.3</v>
      </c>
      <c r="B88" s="2">
        <v>12</v>
      </c>
    </row>
    <row r="89" spans="1:2" x14ac:dyDescent="0.25">
      <c r="A89" s="2">
        <v>110.7</v>
      </c>
      <c r="B89" s="2">
        <v>16</v>
      </c>
    </row>
    <row r="90" spans="1:2" x14ac:dyDescent="0.25">
      <c r="A90" s="2">
        <v>88.3</v>
      </c>
      <c r="B90" s="2">
        <v>12.9</v>
      </c>
    </row>
    <row r="91" spans="1:2" x14ac:dyDescent="0.25">
      <c r="A91" s="2">
        <v>109.8</v>
      </c>
      <c r="B91" s="2">
        <v>16.7</v>
      </c>
    </row>
    <row r="92" spans="1:2" x14ac:dyDescent="0.25">
      <c r="A92" s="2">
        <v>134.30000000000001</v>
      </c>
      <c r="B92" s="2">
        <v>11.2</v>
      </c>
    </row>
    <row r="93" spans="1:2" x14ac:dyDescent="0.25">
      <c r="A93" s="2">
        <v>28.6</v>
      </c>
      <c r="B93" s="2">
        <v>7.3</v>
      </c>
    </row>
    <row r="94" spans="1:2" x14ac:dyDescent="0.25">
      <c r="A94" s="2">
        <v>217.7</v>
      </c>
      <c r="B94" s="2">
        <v>19.399999999999999</v>
      </c>
    </row>
    <row r="95" spans="1:2" x14ac:dyDescent="0.25">
      <c r="A95" s="2">
        <v>250.9</v>
      </c>
      <c r="B95" s="2">
        <v>22.2</v>
      </c>
    </row>
    <row r="96" spans="1:2" x14ac:dyDescent="0.25">
      <c r="A96" s="2">
        <v>107.4</v>
      </c>
      <c r="B96" s="2">
        <v>11.5</v>
      </c>
    </row>
    <row r="97" spans="1:2" x14ac:dyDescent="0.25">
      <c r="A97" s="2">
        <v>163.30000000000001</v>
      </c>
      <c r="B97" s="2">
        <v>16.899999999999999</v>
      </c>
    </row>
    <row r="98" spans="1:2" x14ac:dyDescent="0.25">
      <c r="A98" s="2">
        <v>197.6</v>
      </c>
      <c r="B98" s="2">
        <v>11.7</v>
      </c>
    </row>
    <row r="99" spans="1:2" x14ac:dyDescent="0.25">
      <c r="A99" s="2">
        <v>184.9</v>
      </c>
      <c r="B99" s="2">
        <v>15.5</v>
      </c>
    </row>
    <row r="100" spans="1:2" x14ac:dyDescent="0.25">
      <c r="A100" s="2">
        <v>289.7</v>
      </c>
      <c r="B100" s="2">
        <v>25.4</v>
      </c>
    </row>
    <row r="101" spans="1:2" x14ac:dyDescent="0.25">
      <c r="A101" s="2">
        <v>135.19999999999999</v>
      </c>
      <c r="B101" s="2">
        <v>17.2</v>
      </c>
    </row>
    <row r="102" spans="1:2" x14ac:dyDescent="0.25">
      <c r="A102" s="2">
        <v>222.4</v>
      </c>
      <c r="B102" s="2">
        <v>11.7</v>
      </c>
    </row>
    <row r="103" spans="1:2" x14ac:dyDescent="0.25">
      <c r="A103" s="2">
        <v>296.39999999999998</v>
      </c>
      <c r="B103" s="2">
        <v>23.8</v>
      </c>
    </row>
    <row r="104" spans="1:2" x14ac:dyDescent="0.25">
      <c r="A104" s="2">
        <v>280.2</v>
      </c>
      <c r="B104" s="2">
        <v>14.8</v>
      </c>
    </row>
    <row r="105" spans="1:2" x14ac:dyDescent="0.25">
      <c r="A105" s="2">
        <v>187.9</v>
      </c>
      <c r="B105" s="2">
        <v>14.7</v>
      </c>
    </row>
    <row r="106" spans="1:2" x14ac:dyDescent="0.25">
      <c r="A106" s="2">
        <v>238.2</v>
      </c>
      <c r="B106" s="2">
        <v>20.7</v>
      </c>
    </row>
    <row r="107" spans="1:2" x14ac:dyDescent="0.25">
      <c r="A107" s="2">
        <v>137.9</v>
      </c>
      <c r="B107" s="2">
        <v>19.2</v>
      </c>
    </row>
    <row r="108" spans="1:2" x14ac:dyDescent="0.25">
      <c r="A108" s="2">
        <v>25</v>
      </c>
      <c r="B108" s="2">
        <v>7.2</v>
      </c>
    </row>
    <row r="109" spans="1:2" x14ac:dyDescent="0.25">
      <c r="A109" s="2">
        <v>90.4</v>
      </c>
      <c r="B109" s="2">
        <v>8.6999999999999993</v>
      </c>
    </row>
    <row r="110" spans="1:2" x14ac:dyDescent="0.25">
      <c r="A110" s="2">
        <v>13.1</v>
      </c>
      <c r="B110" s="2">
        <v>5.3</v>
      </c>
    </row>
    <row r="111" spans="1:2" x14ac:dyDescent="0.25">
      <c r="A111" s="2">
        <v>255.4</v>
      </c>
      <c r="B111" s="2">
        <v>19.8</v>
      </c>
    </row>
    <row r="112" spans="1:2" x14ac:dyDescent="0.25">
      <c r="A112" s="2">
        <v>225.8</v>
      </c>
      <c r="B112" s="2">
        <v>13.4</v>
      </c>
    </row>
    <row r="113" spans="1:2" x14ac:dyDescent="0.25">
      <c r="A113" s="2">
        <v>241.7</v>
      </c>
      <c r="B113" s="2">
        <v>21.8</v>
      </c>
    </row>
    <row r="114" spans="1:2" x14ac:dyDescent="0.25">
      <c r="A114" s="2">
        <v>175.7</v>
      </c>
      <c r="B114" s="2">
        <v>14.1</v>
      </c>
    </row>
    <row r="115" spans="1:2" x14ac:dyDescent="0.25">
      <c r="A115" s="2">
        <v>209.6</v>
      </c>
      <c r="B115" s="2">
        <v>15.9</v>
      </c>
    </row>
    <row r="116" spans="1:2" x14ac:dyDescent="0.25">
      <c r="A116" s="2">
        <v>78.2</v>
      </c>
      <c r="B116" s="2">
        <v>14.6</v>
      </c>
    </row>
    <row r="117" spans="1:2" x14ac:dyDescent="0.25">
      <c r="A117" s="2">
        <v>75.099999999999994</v>
      </c>
      <c r="B117" s="2">
        <v>12.6</v>
      </c>
    </row>
    <row r="118" spans="1:2" x14ac:dyDescent="0.25">
      <c r="A118" s="2">
        <v>139.19999999999999</v>
      </c>
      <c r="B118" s="2">
        <v>12.2</v>
      </c>
    </row>
    <row r="119" spans="1:2" x14ac:dyDescent="0.25">
      <c r="A119" s="2">
        <v>76.400000000000006</v>
      </c>
      <c r="B119" s="2">
        <v>9.4</v>
      </c>
    </row>
    <row r="120" spans="1:2" x14ac:dyDescent="0.25">
      <c r="A120" s="2">
        <v>125.7</v>
      </c>
      <c r="B120" s="2">
        <v>15.9</v>
      </c>
    </row>
    <row r="121" spans="1:2" x14ac:dyDescent="0.25">
      <c r="A121" s="2">
        <v>19.399999999999999</v>
      </c>
      <c r="B121" s="2">
        <v>6.6</v>
      </c>
    </row>
    <row r="122" spans="1:2" x14ac:dyDescent="0.25">
      <c r="A122" s="2">
        <v>141.30000000000001</v>
      </c>
      <c r="B122" s="2">
        <v>15.5</v>
      </c>
    </row>
    <row r="123" spans="1:2" x14ac:dyDescent="0.25">
      <c r="A123" s="2">
        <v>18.8</v>
      </c>
      <c r="B123" s="2">
        <v>7</v>
      </c>
    </row>
    <row r="124" spans="1:2" x14ac:dyDescent="0.25">
      <c r="A124" s="2">
        <v>224</v>
      </c>
      <c r="B124" s="2">
        <v>11.6</v>
      </c>
    </row>
    <row r="125" spans="1:2" x14ac:dyDescent="0.25">
      <c r="A125" s="2">
        <v>123.1</v>
      </c>
      <c r="B125" s="2">
        <v>15.2</v>
      </c>
    </row>
    <row r="126" spans="1:2" x14ac:dyDescent="0.25">
      <c r="A126" s="2">
        <v>229.5</v>
      </c>
      <c r="B126" s="2">
        <v>19.7</v>
      </c>
    </row>
    <row r="127" spans="1:2" x14ac:dyDescent="0.25">
      <c r="A127" s="2">
        <v>87.2</v>
      </c>
      <c r="B127" s="2">
        <v>10.6</v>
      </c>
    </row>
    <row r="128" spans="1:2" x14ac:dyDescent="0.25">
      <c r="A128" s="2">
        <v>7.8</v>
      </c>
      <c r="B128" s="2">
        <v>6.6</v>
      </c>
    </row>
    <row r="129" spans="1:2" x14ac:dyDescent="0.25">
      <c r="A129" s="2">
        <v>80.2</v>
      </c>
      <c r="B129" s="2">
        <v>8.8000000000000007</v>
      </c>
    </row>
    <row r="130" spans="1:2" x14ac:dyDescent="0.25">
      <c r="A130" s="2">
        <v>220.3</v>
      </c>
      <c r="B130" s="2">
        <v>24.7</v>
      </c>
    </row>
    <row r="131" spans="1:2" x14ac:dyDescent="0.25">
      <c r="A131" s="2">
        <v>59.6</v>
      </c>
      <c r="B131" s="2">
        <v>9.6999999999999993</v>
      </c>
    </row>
    <row r="132" spans="1:2" x14ac:dyDescent="0.25">
      <c r="A132" s="2">
        <v>0.7</v>
      </c>
      <c r="B132" s="2">
        <v>1.6</v>
      </c>
    </row>
    <row r="133" spans="1:2" x14ac:dyDescent="0.25">
      <c r="A133" s="2">
        <v>265.2</v>
      </c>
      <c r="B133" s="2">
        <v>12.7</v>
      </c>
    </row>
    <row r="134" spans="1:2" x14ac:dyDescent="0.25">
      <c r="A134" s="2">
        <v>8.4</v>
      </c>
      <c r="B134" s="2">
        <v>5.7</v>
      </c>
    </row>
    <row r="135" spans="1:2" x14ac:dyDescent="0.25">
      <c r="A135" s="2">
        <v>219.8</v>
      </c>
      <c r="B135" s="2">
        <v>19.600000000000001</v>
      </c>
    </row>
    <row r="136" spans="1:2" x14ac:dyDescent="0.25">
      <c r="A136" s="2">
        <v>36.9</v>
      </c>
      <c r="B136" s="2">
        <v>10.8</v>
      </c>
    </row>
    <row r="137" spans="1:2" x14ac:dyDescent="0.25">
      <c r="A137" s="2">
        <v>48.3</v>
      </c>
      <c r="B137" s="2">
        <v>11.6</v>
      </c>
    </row>
    <row r="138" spans="1:2" x14ac:dyDescent="0.25">
      <c r="A138" s="2">
        <v>25.6</v>
      </c>
      <c r="B138" s="2">
        <v>9.5</v>
      </c>
    </row>
    <row r="139" spans="1:2" x14ac:dyDescent="0.25">
      <c r="A139" s="2">
        <v>273.7</v>
      </c>
      <c r="B139" s="2">
        <v>20.8</v>
      </c>
    </row>
    <row r="140" spans="1:2" x14ac:dyDescent="0.25">
      <c r="A140" s="2">
        <v>43</v>
      </c>
      <c r="B140" s="2">
        <v>9.6</v>
      </c>
    </row>
    <row r="141" spans="1:2" x14ac:dyDescent="0.25">
      <c r="A141" s="2">
        <v>184.9</v>
      </c>
      <c r="B141" s="2">
        <v>20.7</v>
      </c>
    </row>
    <row r="142" spans="1:2" x14ac:dyDescent="0.25">
      <c r="A142" s="2">
        <v>73.400000000000006</v>
      </c>
      <c r="B142" s="2">
        <v>10.9</v>
      </c>
    </row>
    <row r="143" spans="1:2" x14ac:dyDescent="0.25">
      <c r="A143" s="2">
        <v>193.7</v>
      </c>
      <c r="B143" s="2">
        <v>19.2</v>
      </c>
    </row>
    <row r="144" spans="1:2" x14ac:dyDescent="0.25">
      <c r="A144" s="2">
        <v>220.5</v>
      </c>
      <c r="B144" s="2">
        <v>20.100000000000001</v>
      </c>
    </row>
    <row r="145" spans="1:2" x14ac:dyDescent="0.25">
      <c r="A145" s="2">
        <v>104.6</v>
      </c>
      <c r="B145" s="2">
        <v>10.4</v>
      </c>
    </row>
    <row r="146" spans="1:2" x14ac:dyDescent="0.25">
      <c r="A146" s="2">
        <v>96.2</v>
      </c>
      <c r="B146" s="2">
        <v>11.4</v>
      </c>
    </row>
    <row r="147" spans="1:2" x14ac:dyDescent="0.25">
      <c r="A147" s="2">
        <v>140.30000000000001</v>
      </c>
      <c r="B147" s="2">
        <v>10.3</v>
      </c>
    </row>
    <row r="148" spans="1:2" x14ac:dyDescent="0.25">
      <c r="A148" s="2">
        <v>240.1</v>
      </c>
      <c r="B148" s="2">
        <v>13.2</v>
      </c>
    </row>
    <row r="149" spans="1:2" x14ac:dyDescent="0.25">
      <c r="A149" s="2">
        <v>243.2</v>
      </c>
      <c r="B149" s="2">
        <v>25.4</v>
      </c>
    </row>
    <row r="150" spans="1:2" x14ac:dyDescent="0.25">
      <c r="A150" s="2">
        <v>38</v>
      </c>
      <c r="B150" s="2">
        <v>10.9</v>
      </c>
    </row>
    <row r="151" spans="1:2" x14ac:dyDescent="0.25">
      <c r="A151" s="2">
        <v>44.7</v>
      </c>
      <c r="B151" s="2">
        <v>10.1</v>
      </c>
    </row>
    <row r="152" spans="1:2" x14ac:dyDescent="0.25">
      <c r="A152" s="2">
        <v>280.7</v>
      </c>
      <c r="B152" s="2">
        <v>16.100000000000001</v>
      </c>
    </row>
    <row r="153" spans="1:2" x14ac:dyDescent="0.25">
      <c r="A153" s="2">
        <v>121</v>
      </c>
      <c r="B153" s="2">
        <v>11.6</v>
      </c>
    </row>
    <row r="154" spans="1:2" x14ac:dyDescent="0.25">
      <c r="A154" s="2">
        <v>197.6</v>
      </c>
      <c r="B154" s="2">
        <v>16.600000000000001</v>
      </c>
    </row>
    <row r="155" spans="1:2" x14ac:dyDescent="0.25">
      <c r="A155" s="2">
        <v>171.3</v>
      </c>
      <c r="B155" s="2">
        <v>19</v>
      </c>
    </row>
    <row r="156" spans="1:2" x14ac:dyDescent="0.25">
      <c r="A156" s="2">
        <v>187.8</v>
      </c>
      <c r="B156" s="2">
        <v>15.6</v>
      </c>
    </row>
    <row r="157" spans="1:2" x14ac:dyDescent="0.25">
      <c r="A157" s="2">
        <v>4.0999999999999996</v>
      </c>
      <c r="B157" s="2">
        <v>3.2</v>
      </c>
    </row>
    <row r="158" spans="1:2" x14ac:dyDescent="0.25">
      <c r="A158" s="2">
        <v>93.9</v>
      </c>
      <c r="B158" s="2">
        <v>15.3</v>
      </c>
    </row>
    <row r="159" spans="1:2" x14ac:dyDescent="0.25">
      <c r="A159" s="2">
        <v>149.80000000000001</v>
      </c>
      <c r="B159" s="2">
        <v>10.1</v>
      </c>
    </row>
    <row r="160" spans="1:2" x14ac:dyDescent="0.25">
      <c r="A160" s="2">
        <v>11.7</v>
      </c>
      <c r="B160" s="2">
        <v>7.3</v>
      </c>
    </row>
    <row r="161" spans="1:2" x14ac:dyDescent="0.25">
      <c r="A161" s="2">
        <v>131.69999999999999</v>
      </c>
      <c r="B161" s="2">
        <v>12.9</v>
      </c>
    </row>
    <row r="162" spans="1:2" x14ac:dyDescent="0.25">
      <c r="A162" s="2">
        <v>172.5</v>
      </c>
      <c r="B162" s="2">
        <v>14.4</v>
      </c>
    </row>
    <row r="163" spans="1:2" x14ac:dyDescent="0.25">
      <c r="A163" s="2">
        <v>85.7</v>
      </c>
      <c r="B163" s="2">
        <v>13.3</v>
      </c>
    </row>
    <row r="164" spans="1:2" x14ac:dyDescent="0.25">
      <c r="A164" s="2">
        <v>188.4</v>
      </c>
      <c r="B164" s="2">
        <v>14.9</v>
      </c>
    </row>
    <row r="165" spans="1:2" x14ac:dyDescent="0.25">
      <c r="A165" s="2">
        <v>163.5</v>
      </c>
      <c r="B165" s="2">
        <v>18</v>
      </c>
    </row>
    <row r="166" spans="1:2" x14ac:dyDescent="0.25">
      <c r="A166" s="2">
        <v>117.2</v>
      </c>
      <c r="B166" s="2">
        <v>11.9</v>
      </c>
    </row>
    <row r="167" spans="1:2" x14ac:dyDescent="0.25">
      <c r="A167" s="2">
        <v>234.5</v>
      </c>
      <c r="B167" s="2">
        <v>11.9</v>
      </c>
    </row>
    <row r="168" spans="1:2" x14ac:dyDescent="0.25">
      <c r="A168" s="2">
        <v>17.899999999999999</v>
      </c>
      <c r="B168" s="2">
        <v>8</v>
      </c>
    </row>
    <row r="169" spans="1:2" x14ac:dyDescent="0.25">
      <c r="A169" s="2">
        <v>206.8</v>
      </c>
      <c r="B169" s="2">
        <v>12.2</v>
      </c>
    </row>
    <row r="170" spans="1:2" x14ac:dyDescent="0.25">
      <c r="A170" s="2">
        <v>215.4</v>
      </c>
      <c r="B170" s="2">
        <v>17.100000000000001</v>
      </c>
    </row>
    <row r="171" spans="1:2" x14ac:dyDescent="0.25">
      <c r="A171" s="2">
        <v>284.3</v>
      </c>
      <c r="B171" s="2">
        <v>15</v>
      </c>
    </row>
    <row r="172" spans="1:2" x14ac:dyDescent="0.25">
      <c r="A172" s="2">
        <v>50</v>
      </c>
      <c r="B172" s="2">
        <v>8.4</v>
      </c>
    </row>
    <row r="173" spans="1:2" x14ac:dyDescent="0.25">
      <c r="A173" s="2">
        <v>164.5</v>
      </c>
      <c r="B173" s="2">
        <v>14.5</v>
      </c>
    </row>
    <row r="174" spans="1:2" x14ac:dyDescent="0.25">
      <c r="A174" s="2">
        <v>19.600000000000001</v>
      </c>
      <c r="B174" s="2">
        <v>7.6</v>
      </c>
    </row>
    <row r="175" spans="1:2" x14ac:dyDescent="0.25">
      <c r="A175" s="2">
        <v>168.4</v>
      </c>
      <c r="B175" s="2">
        <v>11.7</v>
      </c>
    </row>
    <row r="176" spans="1:2" x14ac:dyDescent="0.25">
      <c r="A176" s="2">
        <v>222.4</v>
      </c>
      <c r="B176" s="2">
        <v>11.5</v>
      </c>
    </row>
    <row r="177" spans="1:2" x14ac:dyDescent="0.25">
      <c r="A177" s="2">
        <v>276.89999999999998</v>
      </c>
      <c r="B177" s="2">
        <v>27</v>
      </c>
    </row>
    <row r="178" spans="1:2" x14ac:dyDescent="0.25">
      <c r="A178" s="2">
        <v>248.4</v>
      </c>
      <c r="B178" s="2">
        <v>20.2</v>
      </c>
    </row>
    <row r="179" spans="1:2" x14ac:dyDescent="0.25">
      <c r="A179" s="2">
        <v>170.2</v>
      </c>
      <c r="B179" s="2">
        <v>11.7</v>
      </c>
    </row>
    <row r="180" spans="1:2" x14ac:dyDescent="0.25">
      <c r="A180" s="2">
        <v>276.7</v>
      </c>
      <c r="B180" s="2">
        <v>11.8</v>
      </c>
    </row>
    <row r="181" spans="1:2" x14ac:dyDescent="0.25">
      <c r="A181" s="2">
        <v>165.6</v>
      </c>
      <c r="B181" s="2">
        <v>12.6</v>
      </c>
    </row>
    <row r="182" spans="1:2" x14ac:dyDescent="0.25">
      <c r="A182" s="2">
        <v>156.6</v>
      </c>
      <c r="B182" s="2">
        <v>10.5</v>
      </c>
    </row>
    <row r="183" spans="1:2" x14ac:dyDescent="0.25">
      <c r="A183" s="2">
        <v>218.5</v>
      </c>
      <c r="B183" s="2">
        <v>12.2</v>
      </c>
    </row>
    <row r="184" spans="1:2" x14ac:dyDescent="0.25">
      <c r="A184" s="2">
        <v>56.2</v>
      </c>
      <c r="B184" s="2">
        <v>8.6999999999999993</v>
      </c>
    </row>
    <row r="185" spans="1:2" x14ac:dyDescent="0.25">
      <c r="A185" s="2">
        <v>287.60000000000002</v>
      </c>
      <c r="B185" s="2">
        <v>26.2</v>
      </c>
    </row>
    <row r="186" spans="1:2" x14ac:dyDescent="0.25">
      <c r="A186" s="2">
        <v>253.8</v>
      </c>
      <c r="B186" s="2">
        <v>17.600000000000001</v>
      </c>
    </row>
    <row r="187" spans="1:2" x14ac:dyDescent="0.25">
      <c r="A187" s="2">
        <v>205</v>
      </c>
      <c r="B187" s="2">
        <v>22.6</v>
      </c>
    </row>
    <row r="188" spans="1:2" x14ac:dyDescent="0.25">
      <c r="A188" s="2">
        <v>139.5</v>
      </c>
      <c r="B188" s="2">
        <v>10.3</v>
      </c>
    </row>
    <row r="189" spans="1:2" x14ac:dyDescent="0.25">
      <c r="A189" s="2">
        <v>191.1</v>
      </c>
      <c r="B189" s="2">
        <v>17.3</v>
      </c>
    </row>
    <row r="190" spans="1:2" x14ac:dyDescent="0.25">
      <c r="A190" s="2">
        <v>286</v>
      </c>
      <c r="B190" s="2">
        <v>15.9</v>
      </c>
    </row>
    <row r="191" spans="1:2" x14ac:dyDescent="0.25">
      <c r="A191" s="2">
        <v>18.7</v>
      </c>
      <c r="B191" s="2">
        <v>6.7</v>
      </c>
    </row>
    <row r="192" spans="1:2" x14ac:dyDescent="0.25">
      <c r="A192" s="2">
        <v>39.5</v>
      </c>
      <c r="B192" s="2">
        <v>10.8</v>
      </c>
    </row>
    <row r="193" spans="1:2" x14ac:dyDescent="0.25">
      <c r="A193" s="2">
        <v>75.5</v>
      </c>
      <c r="B193" s="2">
        <v>9.9</v>
      </c>
    </row>
    <row r="194" spans="1:2" x14ac:dyDescent="0.25">
      <c r="A194" s="2">
        <v>17.2</v>
      </c>
      <c r="B194" s="2">
        <v>5.9</v>
      </c>
    </row>
    <row r="195" spans="1:2" x14ac:dyDescent="0.25">
      <c r="A195" s="2">
        <v>166.8</v>
      </c>
      <c r="B195" s="2">
        <v>19.600000000000001</v>
      </c>
    </row>
    <row r="196" spans="1:2" x14ac:dyDescent="0.25">
      <c r="A196" s="2">
        <v>149.69999999999999</v>
      </c>
      <c r="B196" s="2">
        <v>17.3</v>
      </c>
    </row>
    <row r="197" spans="1:2" x14ac:dyDescent="0.25">
      <c r="A197" s="2">
        <v>38.200000000000003</v>
      </c>
      <c r="B197" s="2">
        <v>7.6</v>
      </c>
    </row>
    <row r="198" spans="1:2" x14ac:dyDescent="0.25">
      <c r="A198" s="2">
        <v>94.2</v>
      </c>
      <c r="B198" s="2">
        <v>9.6999999999999993</v>
      </c>
    </row>
    <row r="199" spans="1:2" x14ac:dyDescent="0.25">
      <c r="A199" s="2">
        <v>177</v>
      </c>
      <c r="B199" s="2">
        <v>12.8</v>
      </c>
    </row>
    <row r="200" spans="1:2" x14ac:dyDescent="0.25">
      <c r="A200" s="2">
        <v>283.60000000000002</v>
      </c>
      <c r="B200" s="2">
        <v>25.5</v>
      </c>
    </row>
    <row r="201" spans="1:2" x14ac:dyDescent="0.25">
      <c r="A201" s="2">
        <v>232.1</v>
      </c>
      <c r="B201" s="2">
        <v>13.4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28B6-CA76-4874-8F98-25AB1F240909}">
  <dimension ref="A1:H201"/>
  <sheetViews>
    <sheetView workbookViewId="0">
      <selection activeCell="H8" sqref="H8"/>
    </sheetView>
  </sheetViews>
  <sheetFormatPr defaultRowHeight="15" x14ac:dyDescent="0.25"/>
  <cols>
    <col min="1" max="1" width="20.5703125" customWidth="1"/>
    <col min="2" max="2" width="22" customWidth="1"/>
    <col min="8" max="8" width="22.85546875" customWidth="1"/>
  </cols>
  <sheetData>
    <row r="1" spans="1:8" ht="75" x14ac:dyDescent="0.25">
      <c r="A1" s="3" t="s">
        <v>0</v>
      </c>
      <c r="B1" s="3" t="s">
        <v>1</v>
      </c>
    </row>
    <row r="2" spans="1:8" x14ac:dyDescent="0.25">
      <c r="A2" s="2">
        <v>230.1</v>
      </c>
      <c r="B2" s="2">
        <v>22.1</v>
      </c>
    </row>
    <row r="3" spans="1:8" x14ac:dyDescent="0.25">
      <c r="A3" s="2">
        <v>44.5</v>
      </c>
      <c r="B3" s="2">
        <v>10.4</v>
      </c>
    </row>
    <row r="4" spans="1:8" x14ac:dyDescent="0.25">
      <c r="A4" s="2">
        <v>17.2</v>
      </c>
      <c r="B4" s="2">
        <v>9.3000000000000007</v>
      </c>
    </row>
    <row r="5" spans="1:8" x14ac:dyDescent="0.25">
      <c r="A5" s="2">
        <v>151.5</v>
      </c>
      <c r="B5" s="2">
        <v>18.5</v>
      </c>
    </row>
    <row r="6" spans="1:8" x14ac:dyDescent="0.25">
      <c r="A6" s="2">
        <v>180.8</v>
      </c>
      <c r="B6" s="2">
        <v>12.9</v>
      </c>
    </row>
    <row r="7" spans="1:8" x14ac:dyDescent="0.25">
      <c r="A7" s="2">
        <v>8.6999999999999993</v>
      </c>
      <c r="B7" s="2">
        <v>7.2</v>
      </c>
    </row>
    <row r="8" spans="1:8" x14ac:dyDescent="0.25">
      <c r="A8" s="2">
        <v>57.5</v>
      </c>
      <c r="B8" s="2">
        <v>11.8</v>
      </c>
      <c r="E8" t="s">
        <v>22</v>
      </c>
      <c r="F8">
        <f>COUNT(A2:A201)</f>
        <v>200</v>
      </c>
      <c r="H8" t="str">
        <f>IF(F12&gt;1.96,"Reject Null Hypothesis","Fail to Reject Hypothesis")</f>
        <v>Fail to Reject Hypothesis</v>
      </c>
    </row>
    <row r="9" spans="1:8" x14ac:dyDescent="0.25">
      <c r="A9" s="2">
        <v>120.2</v>
      </c>
      <c r="B9" s="2">
        <v>13.2</v>
      </c>
      <c r="F9">
        <f>AVERAGE(A2:A201)</f>
        <v>147.04249999999999</v>
      </c>
    </row>
    <row r="10" spans="1:8" x14ac:dyDescent="0.25">
      <c r="A10" s="2">
        <v>8.6</v>
      </c>
      <c r="B10" s="2">
        <v>4.8</v>
      </c>
      <c r="E10" t="s">
        <v>35</v>
      </c>
      <c r="F10">
        <f>_xlfn.STDEV.S(A2:A201)</f>
        <v>85.854236314908121</v>
      </c>
    </row>
    <row r="11" spans="1:8" x14ac:dyDescent="0.25">
      <c r="A11" s="2">
        <v>199.8</v>
      </c>
      <c r="B11" s="2">
        <v>10.6</v>
      </c>
      <c r="E11" t="s">
        <v>36</v>
      </c>
      <c r="F11">
        <f>COUNT(A2:A201)-1</f>
        <v>199</v>
      </c>
    </row>
    <row r="12" spans="1:8" x14ac:dyDescent="0.25">
      <c r="A12" s="2">
        <v>66.099999999999994</v>
      </c>
      <c r="B12" s="2">
        <v>8.6</v>
      </c>
      <c r="E12" t="s">
        <v>37</v>
      </c>
      <c r="F12">
        <f>(F9-140)/(F10/SQRT(F8))</f>
        <v>1.1600591235220243</v>
      </c>
    </row>
    <row r="13" spans="1:8" x14ac:dyDescent="0.25">
      <c r="A13" s="2">
        <v>214.7</v>
      </c>
      <c r="B13" s="2">
        <v>17.399999999999999</v>
      </c>
    </row>
    <row r="14" spans="1:8" x14ac:dyDescent="0.25">
      <c r="A14" s="2">
        <v>23.8</v>
      </c>
      <c r="B14" s="2">
        <v>9.1999999999999993</v>
      </c>
    </row>
    <row r="15" spans="1:8" x14ac:dyDescent="0.25">
      <c r="A15" s="2">
        <v>97.5</v>
      </c>
      <c r="B15" s="2">
        <v>9.6999999999999993</v>
      </c>
    </row>
    <row r="16" spans="1:8" x14ac:dyDescent="0.25">
      <c r="A16" s="2">
        <v>204.1</v>
      </c>
      <c r="B16" s="2">
        <v>19</v>
      </c>
    </row>
    <row r="17" spans="1:2" x14ac:dyDescent="0.25">
      <c r="A17" s="2">
        <v>195.4</v>
      </c>
      <c r="B17" s="2">
        <v>22.4</v>
      </c>
    </row>
    <row r="18" spans="1:2" x14ac:dyDescent="0.25">
      <c r="A18" s="2">
        <v>67.8</v>
      </c>
      <c r="B18" s="2">
        <v>12.5</v>
      </c>
    </row>
    <row r="19" spans="1:2" x14ac:dyDescent="0.25">
      <c r="A19" s="2">
        <v>281.39999999999998</v>
      </c>
      <c r="B19" s="2">
        <v>24.4</v>
      </c>
    </row>
    <row r="20" spans="1:2" x14ac:dyDescent="0.25">
      <c r="A20" s="2">
        <v>69.2</v>
      </c>
      <c r="B20" s="2">
        <v>11.3</v>
      </c>
    </row>
    <row r="21" spans="1:2" x14ac:dyDescent="0.25">
      <c r="A21" s="2">
        <v>147.30000000000001</v>
      </c>
      <c r="B21" s="2">
        <v>14.6</v>
      </c>
    </row>
    <row r="22" spans="1:2" x14ac:dyDescent="0.25">
      <c r="A22" s="2">
        <v>218.4</v>
      </c>
      <c r="B22" s="2">
        <v>18</v>
      </c>
    </row>
    <row r="23" spans="1:2" x14ac:dyDescent="0.25">
      <c r="A23" s="2">
        <v>237.4</v>
      </c>
      <c r="B23" s="2">
        <v>12.5</v>
      </c>
    </row>
    <row r="24" spans="1:2" x14ac:dyDescent="0.25">
      <c r="A24" s="2">
        <v>13.2</v>
      </c>
      <c r="B24" s="2">
        <v>5.6</v>
      </c>
    </row>
    <row r="25" spans="1:2" x14ac:dyDescent="0.25">
      <c r="A25" s="2">
        <v>228.3</v>
      </c>
      <c r="B25" s="2">
        <v>15.5</v>
      </c>
    </row>
    <row r="26" spans="1:2" x14ac:dyDescent="0.25">
      <c r="A26" s="2">
        <v>62.3</v>
      </c>
      <c r="B26" s="2">
        <v>9.6999999999999993</v>
      </c>
    </row>
    <row r="27" spans="1:2" x14ac:dyDescent="0.25">
      <c r="A27" s="2">
        <v>262.89999999999998</v>
      </c>
      <c r="B27" s="2">
        <v>12</v>
      </c>
    </row>
    <row r="28" spans="1:2" x14ac:dyDescent="0.25">
      <c r="A28" s="2">
        <v>142.9</v>
      </c>
      <c r="B28" s="2">
        <v>15</v>
      </c>
    </row>
    <row r="29" spans="1:2" x14ac:dyDescent="0.25">
      <c r="A29" s="2">
        <v>240.1</v>
      </c>
      <c r="B29" s="2">
        <v>15.9</v>
      </c>
    </row>
    <row r="30" spans="1:2" x14ac:dyDescent="0.25">
      <c r="A30" s="2">
        <v>248.8</v>
      </c>
      <c r="B30" s="2">
        <v>18.899999999999999</v>
      </c>
    </row>
    <row r="31" spans="1:2" x14ac:dyDescent="0.25">
      <c r="A31" s="2">
        <v>70.599999999999994</v>
      </c>
      <c r="B31" s="2">
        <v>10.5</v>
      </c>
    </row>
    <row r="32" spans="1:2" x14ac:dyDescent="0.25">
      <c r="A32" s="2">
        <v>292.89999999999998</v>
      </c>
      <c r="B32" s="2">
        <v>21.4</v>
      </c>
    </row>
    <row r="33" spans="1:2" x14ac:dyDescent="0.25">
      <c r="A33" s="2">
        <v>112.9</v>
      </c>
      <c r="B33" s="2">
        <v>11.9</v>
      </c>
    </row>
    <row r="34" spans="1:2" x14ac:dyDescent="0.25">
      <c r="A34" s="2">
        <v>97.2</v>
      </c>
      <c r="B34" s="2">
        <v>9.6</v>
      </c>
    </row>
    <row r="35" spans="1:2" x14ac:dyDescent="0.25">
      <c r="A35" s="2">
        <v>265.60000000000002</v>
      </c>
      <c r="B35" s="2">
        <v>17.399999999999999</v>
      </c>
    </row>
    <row r="36" spans="1:2" x14ac:dyDescent="0.25">
      <c r="A36" s="2">
        <v>95.7</v>
      </c>
      <c r="B36" s="2">
        <v>9.5</v>
      </c>
    </row>
    <row r="37" spans="1:2" x14ac:dyDescent="0.25">
      <c r="A37" s="2">
        <v>290.7</v>
      </c>
      <c r="B37" s="2">
        <v>12.8</v>
      </c>
    </row>
    <row r="38" spans="1:2" x14ac:dyDescent="0.25">
      <c r="A38" s="2">
        <v>266.89999999999998</v>
      </c>
      <c r="B38" s="2">
        <v>25.4</v>
      </c>
    </row>
    <row r="39" spans="1:2" x14ac:dyDescent="0.25">
      <c r="A39" s="2">
        <v>74.7</v>
      </c>
      <c r="B39" s="2">
        <v>14.7</v>
      </c>
    </row>
    <row r="40" spans="1:2" x14ac:dyDescent="0.25">
      <c r="A40" s="2">
        <v>43.1</v>
      </c>
      <c r="B40" s="2">
        <v>10.1</v>
      </c>
    </row>
    <row r="41" spans="1:2" x14ac:dyDescent="0.25">
      <c r="A41" s="2">
        <v>228</v>
      </c>
      <c r="B41" s="2">
        <v>21.5</v>
      </c>
    </row>
    <row r="42" spans="1:2" x14ac:dyDescent="0.25">
      <c r="A42" s="2">
        <v>202.5</v>
      </c>
      <c r="B42" s="2">
        <v>16.600000000000001</v>
      </c>
    </row>
    <row r="43" spans="1:2" x14ac:dyDescent="0.25">
      <c r="A43" s="2">
        <v>177</v>
      </c>
      <c r="B43" s="2">
        <v>17.100000000000001</v>
      </c>
    </row>
    <row r="44" spans="1:2" x14ac:dyDescent="0.25">
      <c r="A44" s="2">
        <v>293.60000000000002</v>
      </c>
      <c r="B44" s="2">
        <v>20.7</v>
      </c>
    </row>
    <row r="45" spans="1:2" x14ac:dyDescent="0.25">
      <c r="A45" s="2">
        <v>206.9</v>
      </c>
      <c r="B45" s="2">
        <v>12.9</v>
      </c>
    </row>
    <row r="46" spans="1:2" x14ac:dyDescent="0.25">
      <c r="A46" s="2">
        <v>25.1</v>
      </c>
      <c r="B46" s="2">
        <v>8.5</v>
      </c>
    </row>
    <row r="47" spans="1:2" x14ac:dyDescent="0.25">
      <c r="A47" s="2">
        <v>175.1</v>
      </c>
      <c r="B47" s="2">
        <v>14.9</v>
      </c>
    </row>
    <row r="48" spans="1:2" x14ac:dyDescent="0.25">
      <c r="A48" s="2">
        <v>89.7</v>
      </c>
      <c r="B48" s="2">
        <v>10.6</v>
      </c>
    </row>
    <row r="49" spans="1:2" x14ac:dyDescent="0.25">
      <c r="A49" s="2">
        <v>239.9</v>
      </c>
      <c r="B49" s="2">
        <v>23.2</v>
      </c>
    </row>
    <row r="50" spans="1:2" x14ac:dyDescent="0.25">
      <c r="A50" s="2">
        <v>227.2</v>
      </c>
      <c r="B50" s="2">
        <v>14.8</v>
      </c>
    </row>
    <row r="51" spans="1:2" x14ac:dyDescent="0.25">
      <c r="A51" s="2">
        <v>66.900000000000006</v>
      </c>
      <c r="B51" s="2">
        <v>9.6999999999999993</v>
      </c>
    </row>
    <row r="52" spans="1:2" x14ac:dyDescent="0.25">
      <c r="A52" s="2">
        <v>199.8</v>
      </c>
      <c r="B52" s="2">
        <v>11.4</v>
      </c>
    </row>
    <row r="53" spans="1:2" x14ac:dyDescent="0.25">
      <c r="A53" s="2">
        <v>100.4</v>
      </c>
      <c r="B53" s="2">
        <v>10.7</v>
      </c>
    </row>
    <row r="54" spans="1:2" x14ac:dyDescent="0.25">
      <c r="A54" s="2">
        <v>216.4</v>
      </c>
      <c r="B54" s="2">
        <v>22.6</v>
      </c>
    </row>
    <row r="55" spans="1:2" x14ac:dyDescent="0.25">
      <c r="A55" s="2">
        <v>182.6</v>
      </c>
      <c r="B55" s="2">
        <v>21.2</v>
      </c>
    </row>
    <row r="56" spans="1:2" x14ac:dyDescent="0.25">
      <c r="A56" s="2">
        <v>262.7</v>
      </c>
      <c r="B56" s="2">
        <v>20.2</v>
      </c>
    </row>
    <row r="57" spans="1:2" x14ac:dyDescent="0.25">
      <c r="A57" s="2">
        <v>198.9</v>
      </c>
      <c r="B57" s="2">
        <v>23.7</v>
      </c>
    </row>
    <row r="58" spans="1:2" x14ac:dyDescent="0.25">
      <c r="A58" s="2">
        <v>7.3</v>
      </c>
      <c r="B58" s="2">
        <v>5.5</v>
      </c>
    </row>
    <row r="59" spans="1:2" x14ac:dyDescent="0.25">
      <c r="A59" s="2">
        <v>136.19999999999999</v>
      </c>
      <c r="B59" s="2">
        <v>13.2</v>
      </c>
    </row>
    <row r="60" spans="1:2" x14ac:dyDescent="0.25">
      <c r="A60" s="2">
        <v>210.8</v>
      </c>
      <c r="B60" s="2">
        <v>23.8</v>
      </c>
    </row>
    <row r="61" spans="1:2" x14ac:dyDescent="0.25">
      <c r="A61" s="2">
        <v>210.7</v>
      </c>
      <c r="B61" s="2">
        <v>18.399999999999999</v>
      </c>
    </row>
    <row r="62" spans="1:2" x14ac:dyDescent="0.25">
      <c r="A62" s="2">
        <v>53.5</v>
      </c>
      <c r="B62" s="2">
        <v>8.1</v>
      </c>
    </row>
    <row r="63" spans="1:2" x14ac:dyDescent="0.25">
      <c r="A63" s="2">
        <v>261.3</v>
      </c>
      <c r="B63" s="2">
        <v>24.2</v>
      </c>
    </row>
    <row r="64" spans="1:2" x14ac:dyDescent="0.25">
      <c r="A64" s="2">
        <v>239.3</v>
      </c>
      <c r="B64" s="2">
        <v>15.7</v>
      </c>
    </row>
    <row r="65" spans="1:2" x14ac:dyDescent="0.25">
      <c r="A65" s="2">
        <v>102.7</v>
      </c>
      <c r="B65" s="2">
        <v>14</v>
      </c>
    </row>
    <row r="66" spans="1:2" x14ac:dyDescent="0.25">
      <c r="A66" s="2">
        <v>131.1</v>
      </c>
      <c r="B66" s="2">
        <v>18</v>
      </c>
    </row>
    <row r="67" spans="1:2" x14ac:dyDescent="0.25">
      <c r="A67" s="2">
        <v>69</v>
      </c>
      <c r="B67" s="2">
        <v>9.3000000000000007</v>
      </c>
    </row>
    <row r="68" spans="1:2" x14ac:dyDescent="0.25">
      <c r="A68" s="2">
        <v>31.5</v>
      </c>
      <c r="B68" s="2">
        <v>9.5</v>
      </c>
    </row>
    <row r="69" spans="1:2" x14ac:dyDescent="0.25">
      <c r="A69" s="2">
        <v>139.30000000000001</v>
      </c>
      <c r="B69" s="2">
        <v>13.4</v>
      </c>
    </row>
    <row r="70" spans="1:2" x14ac:dyDescent="0.25">
      <c r="A70" s="2">
        <v>237.4</v>
      </c>
      <c r="B70" s="2">
        <v>18.899999999999999</v>
      </c>
    </row>
    <row r="71" spans="1:2" x14ac:dyDescent="0.25">
      <c r="A71" s="2">
        <v>216.8</v>
      </c>
      <c r="B71" s="2">
        <v>22.3</v>
      </c>
    </row>
    <row r="72" spans="1:2" x14ac:dyDescent="0.25">
      <c r="A72" s="2">
        <v>199.1</v>
      </c>
      <c r="B72" s="2">
        <v>18.3</v>
      </c>
    </row>
    <row r="73" spans="1:2" x14ac:dyDescent="0.25">
      <c r="A73" s="2">
        <v>109.8</v>
      </c>
      <c r="B73" s="2">
        <v>12.4</v>
      </c>
    </row>
    <row r="74" spans="1:2" x14ac:dyDescent="0.25">
      <c r="A74" s="2">
        <v>26.8</v>
      </c>
      <c r="B74" s="2">
        <v>8.8000000000000007</v>
      </c>
    </row>
    <row r="75" spans="1:2" x14ac:dyDescent="0.25">
      <c r="A75" s="2">
        <v>129.4</v>
      </c>
      <c r="B75" s="2">
        <v>11</v>
      </c>
    </row>
    <row r="76" spans="1:2" x14ac:dyDescent="0.25">
      <c r="A76" s="2">
        <v>213.4</v>
      </c>
      <c r="B76" s="2">
        <v>17</v>
      </c>
    </row>
    <row r="77" spans="1:2" x14ac:dyDescent="0.25">
      <c r="A77" s="2">
        <v>16.899999999999999</v>
      </c>
      <c r="B77" s="2">
        <v>8.6999999999999993</v>
      </c>
    </row>
    <row r="78" spans="1:2" x14ac:dyDescent="0.25">
      <c r="A78" s="2">
        <v>27.5</v>
      </c>
      <c r="B78" s="2">
        <v>6.9</v>
      </c>
    </row>
    <row r="79" spans="1:2" x14ac:dyDescent="0.25">
      <c r="A79" s="2">
        <v>120.5</v>
      </c>
      <c r="B79" s="2">
        <v>14.2</v>
      </c>
    </row>
    <row r="80" spans="1:2" x14ac:dyDescent="0.25">
      <c r="A80" s="2">
        <v>5.4</v>
      </c>
      <c r="B80" s="2">
        <v>5.3</v>
      </c>
    </row>
    <row r="81" spans="1:2" x14ac:dyDescent="0.25">
      <c r="A81" s="2">
        <v>116</v>
      </c>
      <c r="B81" s="2">
        <v>11</v>
      </c>
    </row>
    <row r="82" spans="1:2" x14ac:dyDescent="0.25">
      <c r="A82" s="2">
        <v>76.400000000000006</v>
      </c>
      <c r="B82" s="2">
        <v>11.8</v>
      </c>
    </row>
    <row r="83" spans="1:2" x14ac:dyDescent="0.25">
      <c r="A83" s="2">
        <v>239.8</v>
      </c>
      <c r="B83" s="2">
        <v>12.3</v>
      </c>
    </row>
    <row r="84" spans="1:2" x14ac:dyDescent="0.25">
      <c r="A84" s="2">
        <v>75.3</v>
      </c>
      <c r="B84" s="2">
        <v>11.3</v>
      </c>
    </row>
    <row r="85" spans="1:2" x14ac:dyDescent="0.25">
      <c r="A85" s="2">
        <v>68.400000000000006</v>
      </c>
      <c r="B85" s="2">
        <v>13.6</v>
      </c>
    </row>
    <row r="86" spans="1:2" x14ac:dyDescent="0.25">
      <c r="A86" s="2">
        <v>213.5</v>
      </c>
      <c r="B86" s="2">
        <v>21.7</v>
      </c>
    </row>
    <row r="87" spans="1:2" x14ac:dyDescent="0.25">
      <c r="A87" s="2">
        <v>193.2</v>
      </c>
      <c r="B87" s="2">
        <v>15.2</v>
      </c>
    </row>
    <row r="88" spans="1:2" x14ac:dyDescent="0.25">
      <c r="A88" s="2">
        <v>76.3</v>
      </c>
      <c r="B88" s="2">
        <v>12</v>
      </c>
    </row>
    <row r="89" spans="1:2" x14ac:dyDescent="0.25">
      <c r="A89" s="2">
        <v>110.7</v>
      </c>
      <c r="B89" s="2">
        <v>16</v>
      </c>
    </row>
    <row r="90" spans="1:2" x14ac:dyDescent="0.25">
      <c r="A90" s="2">
        <v>88.3</v>
      </c>
      <c r="B90" s="2">
        <v>12.9</v>
      </c>
    </row>
    <row r="91" spans="1:2" x14ac:dyDescent="0.25">
      <c r="A91" s="2">
        <v>109.8</v>
      </c>
      <c r="B91" s="2">
        <v>16.7</v>
      </c>
    </row>
    <row r="92" spans="1:2" x14ac:dyDescent="0.25">
      <c r="A92" s="2">
        <v>134.30000000000001</v>
      </c>
      <c r="B92" s="2">
        <v>11.2</v>
      </c>
    </row>
    <row r="93" spans="1:2" x14ac:dyDescent="0.25">
      <c r="A93" s="2">
        <v>28.6</v>
      </c>
      <c r="B93" s="2">
        <v>7.3</v>
      </c>
    </row>
    <row r="94" spans="1:2" x14ac:dyDescent="0.25">
      <c r="A94" s="2">
        <v>217.7</v>
      </c>
      <c r="B94" s="2">
        <v>19.399999999999999</v>
      </c>
    </row>
    <row r="95" spans="1:2" x14ac:dyDescent="0.25">
      <c r="A95" s="2">
        <v>250.9</v>
      </c>
      <c r="B95" s="2">
        <v>22.2</v>
      </c>
    </row>
    <row r="96" spans="1:2" x14ac:dyDescent="0.25">
      <c r="A96" s="2">
        <v>107.4</v>
      </c>
      <c r="B96" s="2">
        <v>11.5</v>
      </c>
    </row>
    <row r="97" spans="1:2" x14ac:dyDescent="0.25">
      <c r="A97" s="2">
        <v>163.30000000000001</v>
      </c>
      <c r="B97" s="2">
        <v>16.899999999999999</v>
      </c>
    </row>
    <row r="98" spans="1:2" x14ac:dyDescent="0.25">
      <c r="A98" s="2">
        <v>197.6</v>
      </c>
      <c r="B98" s="2">
        <v>11.7</v>
      </c>
    </row>
    <row r="99" spans="1:2" x14ac:dyDescent="0.25">
      <c r="A99" s="2">
        <v>184.9</v>
      </c>
      <c r="B99" s="2">
        <v>15.5</v>
      </c>
    </row>
    <row r="100" spans="1:2" x14ac:dyDescent="0.25">
      <c r="A100" s="2">
        <v>289.7</v>
      </c>
      <c r="B100" s="2">
        <v>25.4</v>
      </c>
    </row>
    <row r="101" spans="1:2" x14ac:dyDescent="0.25">
      <c r="A101" s="2">
        <v>135.19999999999999</v>
      </c>
      <c r="B101" s="2">
        <v>17.2</v>
      </c>
    </row>
    <row r="102" spans="1:2" x14ac:dyDescent="0.25">
      <c r="A102" s="2">
        <v>222.4</v>
      </c>
      <c r="B102" s="2">
        <v>11.7</v>
      </c>
    </row>
    <row r="103" spans="1:2" x14ac:dyDescent="0.25">
      <c r="A103" s="2">
        <v>296.39999999999998</v>
      </c>
      <c r="B103" s="2">
        <v>23.8</v>
      </c>
    </row>
    <row r="104" spans="1:2" x14ac:dyDescent="0.25">
      <c r="A104" s="2">
        <v>280.2</v>
      </c>
      <c r="B104" s="2">
        <v>14.8</v>
      </c>
    </row>
    <row r="105" spans="1:2" x14ac:dyDescent="0.25">
      <c r="A105" s="2">
        <v>187.9</v>
      </c>
      <c r="B105" s="2">
        <v>14.7</v>
      </c>
    </row>
    <row r="106" spans="1:2" x14ac:dyDescent="0.25">
      <c r="A106" s="2">
        <v>238.2</v>
      </c>
      <c r="B106" s="2">
        <v>20.7</v>
      </c>
    </row>
    <row r="107" spans="1:2" x14ac:dyDescent="0.25">
      <c r="A107" s="2">
        <v>137.9</v>
      </c>
      <c r="B107" s="2">
        <v>19.2</v>
      </c>
    </row>
    <row r="108" spans="1:2" x14ac:dyDescent="0.25">
      <c r="A108" s="2">
        <v>25</v>
      </c>
      <c r="B108" s="2">
        <v>7.2</v>
      </c>
    </row>
    <row r="109" spans="1:2" x14ac:dyDescent="0.25">
      <c r="A109" s="2">
        <v>90.4</v>
      </c>
      <c r="B109" s="2">
        <v>8.6999999999999993</v>
      </c>
    </row>
    <row r="110" spans="1:2" x14ac:dyDescent="0.25">
      <c r="A110" s="2">
        <v>13.1</v>
      </c>
      <c r="B110" s="2">
        <v>5.3</v>
      </c>
    </row>
    <row r="111" spans="1:2" x14ac:dyDescent="0.25">
      <c r="A111" s="2">
        <v>255.4</v>
      </c>
      <c r="B111" s="2">
        <v>19.8</v>
      </c>
    </row>
    <row r="112" spans="1:2" x14ac:dyDescent="0.25">
      <c r="A112" s="2">
        <v>225.8</v>
      </c>
      <c r="B112" s="2">
        <v>13.4</v>
      </c>
    </row>
    <row r="113" spans="1:2" x14ac:dyDescent="0.25">
      <c r="A113" s="2">
        <v>241.7</v>
      </c>
      <c r="B113" s="2">
        <v>21.8</v>
      </c>
    </row>
    <row r="114" spans="1:2" x14ac:dyDescent="0.25">
      <c r="A114" s="2">
        <v>175.7</v>
      </c>
      <c r="B114" s="2">
        <v>14.1</v>
      </c>
    </row>
    <row r="115" spans="1:2" x14ac:dyDescent="0.25">
      <c r="A115" s="2">
        <v>209.6</v>
      </c>
      <c r="B115" s="2">
        <v>15.9</v>
      </c>
    </row>
    <row r="116" spans="1:2" x14ac:dyDescent="0.25">
      <c r="A116" s="2">
        <v>78.2</v>
      </c>
      <c r="B116" s="2">
        <v>14.6</v>
      </c>
    </row>
    <row r="117" spans="1:2" x14ac:dyDescent="0.25">
      <c r="A117" s="2">
        <v>75.099999999999994</v>
      </c>
      <c r="B117" s="2">
        <v>12.6</v>
      </c>
    </row>
    <row r="118" spans="1:2" x14ac:dyDescent="0.25">
      <c r="A118" s="2">
        <v>139.19999999999999</v>
      </c>
      <c r="B118" s="2">
        <v>12.2</v>
      </c>
    </row>
    <row r="119" spans="1:2" x14ac:dyDescent="0.25">
      <c r="A119" s="2">
        <v>76.400000000000006</v>
      </c>
      <c r="B119" s="2">
        <v>9.4</v>
      </c>
    </row>
    <row r="120" spans="1:2" x14ac:dyDescent="0.25">
      <c r="A120" s="2">
        <v>125.7</v>
      </c>
      <c r="B120" s="2">
        <v>15.9</v>
      </c>
    </row>
    <row r="121" spans="1:2" x14ac:dyDescent="0.25">
      <c r="A121" s="2">
        <v>19.399999999999999</v>
      </c>
      <c r="B121" s="2">
        <v>6.6</v>
      </c>
    </row>
    <row r="122" spans="1:2" x14ac:dyDescent="0.25">
      <c r="A122" s="2">
        <v>141.30000000000001</v>
      </c>
      <c r="B122" s="2">
        <v>15.5</v>
      </c>
    </row>
    <row r="123" spans="1:2" x14ac:dyDescent="0.25">
      <c r="A123" s="2">
        <v>18.8</v>
      </c>
      <c r="B123" s="2">
        <v>7</v>
      </c>
    </row>
    <row r="124" spans="1:2" x14ac:dyDescent="0.25">
      <c r="A124" s="2">
        <v>224</v>
      </c>
      <c r="B124" s="2">
        <v>11.6</v>
      </c>
    </row>
    <row r="125" spans="1:2" x14ac:dyDescent="0.25">
      <c r="A125" s="2">
        <v>123.1</v>
      </c>
      <c r="B125" s="2">
        <v>15.2</v>
      </c>
    </row>
    <row r="126" spans="1:2" x14ac:dyDescent="0.25">
      <c r="A126" s="2">
        <v>229.5</v>
      </c>
      <c r="B126" s="2">
        <v>19.7</v>
      </c>
    </row>
    <row r="127" spans="1:2" x14ac:dyDescent="0.25">
      <c r="A127" s="2">
        <v>87.2</v>
      </c>
      <c r="B127" s="2">
        <v>10.6</v>
      </c>
    </row>
    <row r="128" spans="1:2" x14ac:dyDescent="0.25">
      <c r="A128" s="2">
        <v>7.8</v>
      </c>
      <c r="B128" s="2">
        <v>6.6</v>
      </c>
    </row>
    <row r="129" spans="1:2" x14ac:dyDescent="0.25">
      <c r="A129" s="2">
        <v>80.2</v>
      </c>
      <c r="B129" s="2">
        <v>8.8000000000000007</v>
      </c>
    </row>
    <row r="130" spans="1:2" x14ac:dyDescent="0.25">
      <c r="A130" s="2">
        <v>220.3</v>
      </c>
      <c r="B130" s="2">
        <v>24.7</v>
      </c>
    </row>
    <row r="131" spans="1:2" x14ac:dyDescent="0.25">
      <c r="A131" s="2">
        <v>59.6</v>
      </c>
      <c r="B131" s="2">
        <v>9.6999999999999993</v>
      </c>
    </row>
    <row r="132" spans="1:2" x14ac:dyDescent="0.25">
      <c r="A132" s="2">
        <v>0.7</v>
      </c>
      <c r="B132" s="2">
        <v>1.6</v>
      </c>
    </row>
    <row r="133" spans="1:2" x14ac:dyDescent="0.25">
      <c r="A133" s="2">
        <v>265.2</v>
      </c>
      <c r="B133" s="2">
        <v>12.7</v>
      </c>
    </row>
    <row r="134" spans="1:2" x14ac:dyDescent="0.25">
      <c r="A134" s="2">
        <v>8.4</v>
      </c>
      <c r="B134" s="2">
        <v>5.7</v>
      </c>
    </row>
    <row r="135" spans="1:2" x14ac:dyDescent="0.25">
      <c r="A135" s="2">
        <v>219.8</v>
      </c>
      <c r="B135" s="2">
        <v>19.600000000000001</v>
      </c>
    </row>
    <row r="136" spans="1:2" x14ac:dyDescent="0.25">
      <c r="A136" s="2">
        <v>36.9</v>
      </c>
      <c r="B136" s="2">
        <v>10.8</v>
      </c>
    </row>
    <row r="137" spans="1:2" x14ac:dyDescent="0.25">
      <c r="A137" s="2">
        <v>48.3</v>
      </c>
      <c r="B137" s="2">
        <v>11.6</v>
      </c>
    </row>
    <row r="138" spans="1:2" x14ac:dyDescent="0.25">
      <c r="A138" s="2">
        <v>25.6</v>
      </c>
      <c r="B138" s="2">
        <v>9.5</v>
      </c>
    </row>
    <row r="139" spans="1:2" x14ac:dyDescent="0.25">
      <c r="A139" s="2">
        <v>273.7</v>
      </c>
      <c r="B139" s="2">
        <v>20.8</v>
      </c>
    </row>
    <row r="140" spans="1:2" x14ac:dyDescent="0.25">
      <c r="A140" s="2">
        <v>43</v>
      </c>
      <c r="B140" s="2">
        <v>9.6</v>
      </c>
    </row>
    <row r="141" spans="1:2" x14ac:dyDescent="0.25">
      <c r="A141" s="2">
        <v>184.9</v>
      </c>
      <c r="B141" s="2">
        <v>20.7</v>
      </c>
    </row>
    <row r="142" spans="1:2" x14ac:dyDescent="0.25">
      <c r="A142" s="2">
        <v>73.400000000000006</v>
      </c>
      <c r="B142" s="2">
        <v>10.9</v>
      </c>
    </row>
    <row r="143" spans="1:2" x14ac:dyDescent="0.25">
      <c r="A143" s="2">
        <v>193.7</v>
      </c>
      <c r="B143" s="2">
        <v>19.2</v>
      </c>
    </row>
    <row r="144" spans="1:2" x14ac:dyDescent="0.25">
      <c r="A144" s="2">
        <v>220.5</v>
      </c>
      <c r="B144" s="2">
        <v>20.100000000000001</v>
      </c>
    </row>
    <row r="145" spans="1:2" x14ac:dyDescent="0.25">
      <c r="A145" s="2">
        <v>104.6</v>
      </c>
      <c r="B145" s="2">
        <v>10.4</v>
      </c>
    </row>
    <row r="146" spans="1:2" x14ac:dyDescent="0.25">
      <c r="A146" s="2">
        <v>96.2</v>
      </c>
      <c r="B146" s="2">
        <v>11.4</v>
      </c>
    </row>
    <row r="147" spans="1:2" x14ac:dyDescent="0.25">
      <c r="A147" s="2">
        <v>140.30000000000001</v>
      </c>
      <c r="B147" s="2">
        <v>10.3</v>
      </c>
    </row>
    <row r="148" spans="1:2" x14ac:dyDescent="0.25">
      <c r="A148" s="2">
        <v>240.1</v>
      </c>
      <c r="B148" s="2">
        <v>13.2</v>
      </c>
    </row>
    <row r="149" spans="1:2" x14ac:dyDescent="0.25">
      <c r="A149" s="2">
        <v>243.2</v>
      </c>
      <c r="B149" s="2">
        <v>25.4</v>
      </c>
    </row>
    <row r="150" spans="1:2" x14ac:dyDescent="0.25">
      <c r="A150" s="2">
        <v>38</v>
      </c>
      <c r="B150" s="2">
        <v>10.9</v>
      </c>
    </row>
    <row r="151" spans="1:2" x14ac:dyDescent="0.25">
      <c r="A151" s="2">
        <v>44.7</v>
      </c>
      <c r="B151" s="2">
        <v>10.1</v>
      </c>
    </row>
    <row r="152" spans="1:2" x14ac:dyDescent="0.25">
      <c r="A152" s="2">
        <v>280.7</v>
      </c>
      <c r="B152" s="2">
        <v>16.100000000000001</v>
      </c>
    </row>
    <row r="153" spans="1:2" x14ac:dyDescent="0.25">
      <c r="A153" s="2">
        <v>121</v>
      </c>
      <c r="B153" s="2">
        <v>11.6</v>
      </c>
    </row>
    <row r="154" spans="1:2" x14ac:dyDescent="0.25">
      <c r="A154" s="2">
        <v>197.6</v>
      </c>
      <c r="B154" s="2">
        <v>16.600000000000001</v>
      </c>
    </row>
    <row r="155" spans="1:2" x14ac:dyDescent="0.25">
      <c r="A155" s="2">
        <v>171.3</v>
      </c>
      <c r="B155" s="2">
        <v>19</v>
      </c>
    </row>
    <row r="156" spans="1:2" x14ac:dyDescent="0.25">
      <c r="A156" s="2">
        <v>187.8</v>
      </c>
      <c r="B156" s="2">
        <v>15.6</v>
      </c>
    </row>
    <row r="157" spans="1:2" x14ac:dyDescent="0.25">
      <c r="A157" s="2">
        <v>4.0999999999999996</v>
      </c>
      <c r="B157" s="2">
        <v>3.2</v>
      </c>
    </row>
    <row r="158" spans="1:2" x14ac:dyDescent="0.25">
      <c r="A158" s="2">
        <v>93.9</v>
      </c>
      <c r="B158" s="2">
        <v>15.3</v>
      </c>
    </row>
    <row r="159" spans="1:2" x14ac:dyDescent="0.25">
      <c r="A159" s="2">
        <v>149.80000000000001</v>
      </c>
      <c r="B159" s="2">
        <v>10.1</v>
      </c>
    </row>
    <row r="160" spans="1:2" x14ac:dyDescent="0.25">
      <c r="A160" s="2">
        <v>11.7</v>
      </c>
      <c r="B160" s="2">
        <v>7.3</v>
      </c>
    </row>
    <row r="161" spans="1:2" x14ac:dyDescent="0.25">
      <c r="A161" s="2">
        <v>131.69999999999999</v>
      </c>
      <c r="B161" s="2">
        <v>12.9</v>
      </c>
    </row>
    <row r="162" spans="1:2" x14ac:dyDescent="0.25">
      <c r="A162" s="2">
        <v>172.5</v>
      </c>
      <c r="B162" s="2">
        <v>14.4</v>
      </c>
    </row>
    <row r="163" spans="1:2" x14ac:dyDescent="0.25">
      <c r="A163" s="2">
        <v>85.7</v>
      </c>
      <c r="B163" s="2">
        <v>13.3</v>
      </c>
    </row>
    <row r="164" spans="1:2" x14ac:dyDescent="0.25">
      <c r="A164" s="2">
        <v>188.4</v>
      </c>
      <c r="B164" s="2">
        <v>14.9</v>
      </c>
    </row>
    <row r="165" spans="1:2" x14ac:dyDescent="0.25">
      <c r="A165" s="2">
        <v>163.5</v>
      </c>
      <c r="B165" s="2">
        <v>18</v>
      </c>
    </row>
    <row r="166" spans="1:2" x14ac:dyDescent="0.25">
      <c r="A166" s="2">
        <v>117.2</v>
      </c>
      <c r="B166" s="2">
        <v>11.9</v>
      </c>
    </row>
    <row r="167" spans="1:2" x14ac:dyDescent="0.25">
      <c r="A167" s="2">
        <v>234.5</v>
      </c>
      <c r="B167" s="2">
        <v>11.9</v>
      </c>
    </row>
    <row r="168" spans="1:2" x14ac:dyDescent="0.25">
      <c r="A168" s="2">
        <v>17.899999999999999</v>
      </c>
      <c r="B168" s="2">
        <v>8</v>
      </c>
    </row>
    <row r="169" spans="1:2" x14ac:dyDescent="0.25">
      <c r="A169" s="2">
        <v>206.8</v>
      </c>
      <c r="B169" s="2">
        <v>12.2</v>
      </c>
    </row>
    <row r="170" spans="1:2" x14ac:dyDescent="0.25">
      <c r="A170" s="2">
        <v>215.4</v>
      </c>
      <c r="B170" s="2">
        <v>17.100000000000001</v>
      </c>
    </row>
    <row r="171" spans="1:2" x14ac:dyDescent="0.25">
      <c r="A171" s="2">
        <v>284.3</v>
      </c>
      <c r="B171" s="2">
        <v>15</v>
      </c>
    </row>
    <row r="172" spans="1:2" x14ac:dyDescent="0.25">
      <c r="A172" s="2">
        <v>50</v>
      </c>
      <c r="B172" s="2">
        <v>8.4</v>
      </c>
    </row>
    <row r="173" spans="1:2" x14ac:dyDescent="0.25">
      <c r="A173" s="2">
        <v>164.5</v>
      </c>
      <c r="B173" s="2">
        <v>14.5</v>
      </c>
    </row>
    <row r="174" spans="1:2" x14ac:dyDescent="0.25">
      <c r="A174" s="2">
        <v>19.600000000000001</v>
      </c>
      <c r="B174" s="2">
        <v>7.6</v>
      </c>
    </row>
    <row r="175" spans="1:2" x14ac:dyDescent="0.25">
      <c r="A175" s="2">
        <v>168.4</v>
      </c>
      <c r="B175" s="2">
        <v>11.7</v>
      </c>
    </row>
    <row r="176" spans="1:2" x14ac:dyDescent="0.25">
      <c r="A176" s="2">
        <v>222.4</v>
      </c>
      <c r="B176" s="2">
        <v>11.5</v>
      </c>
    </row>
    <row r="177" spans="1:2" x14ac:dyDescent="0.25">
      <c r="A177" s="2">
        <v>276.89999999999998</v>
      </c>
      <c r="B177" s="2">
        <v>27</v>
      </c>
    </row>
    <row r="178" spans="1:2" x14ac:dyDescent="0.25">
      <c r="A178" s="2">
        <v>248.4</v>
      </c>
      <c r="B178" s="2">
        <v>20.2</v>
      </c>
    </row>
    <row r="179" spans="1:2" x14ac:dyDescent="0.25">
      <c r="A179" s="2">
        <v>170.2</v>
      </c>
      <c r="B179" s="2">
        <v>11.7</v>
      </c>
    </row>
    <row r="180" spans="1:2" x14ac:dyDescent="0.25">
      <c r="A180" s="2">
        <v>276.7</v>
      </c>
      <c r="B180" s="2">
        <v>11.8</v>
      </c>
    </row>
    <row r="181" spans="1:2" x14ac:dyDescent="0.25">
      <c r="A181" s="2">
        <v>165.6</v>
      </c>
      <c r="B181" s="2">
        <v>12.6</v>
      </c>
    </row>
    <row r="182" spans="1:2" x14ac:dyDescent="0.25">
      <c r="A182" s="2">
        <v>156.6</v>
      </c>
      <c r="B182" s="2">
        <v>10.5</v>
      </c>
    </row>
    <row r="183" spans="1:2" x14ac:dyDescent="0.25">
      <c r="A183" s="2">
        <v>218.5</v>
      </c>
      <c r="B183" s="2">
        <v>12.2</v>
      </c>
    </row>
    <row r="184" spans="1:2" x14ac:dyDescent="0.25">
      <c r="A184" s="2">
        <v>56.2</v>
      </c>
      <c r="B184" s="2">
        <v>8.6999999999999993</v>
      </c>
    </row>
    <row r="185" spans="1:2" x14ac:dyDescent="0.25">
      <c r="A185" s="2">
        <v>287.60000000000002</v>
      </c>
      <c r="B185" s="2">
        <v>26.2</v>
      </c>
    </row>
    <row r="186" spans="1:2" x14ac:dyDescent="0.25">
      <c r="A186" s="2">
        <v>253.8</v>
      </c>
      <c r="B186" s="2">
        <v>17.600000000000001</v>
      </c>
    </row>
    <row r="187" spans="1:2" x14ac:dyDescent="0.25">
      <c r="A187" s="2">
        <v>205</v>
      </c>
      <c r="B187" s="2">
        <v>22.6</v>
      </c>
    </row>
    <row r="188" spans="1:2" x14ac:dyDescent="0.25">
      <c r="A188" s="2">
        <v>139.5</v>
      </c>
      <c r="B188" s="2">
        <v>10.3</v>
      </c>
    </row>
    <row r="189" spans="1:2" x14ac:dyDescent="0.25">
      <c r="A189" s="2">
        <v>191.1</v>
      </c>
      <c r="B189" s="2">
        <v>17.3</v>
      </c>
    </row>
    <row r="190" spans="1:2" x14ac:dyDescent="0.25">
      <c r="A190" s="2">
        <v>286</v>
      </c>
      <c r="B190" s="2">
        <v>15.9</v>
      </c>
    </row>
    <row r="191" spans="1:2" x14ac:dyDescent="0.25">
      <c r="A191" s="2">
        <v>18.7</v>
      </c>
      <c r="B191" s="2">
        <v>6.7</v>
      </c>
    </row>
    <row r="192" spans="1:2" x14ac:dyDescent="0.25">
      <c r="A192" s="2">
        <v>39.5</v>
      </c>
      <c r="B192" s="2">
        <v>10.8</v>
      </c>
    </row>
    <row r="193" spans="1:2" x14ac:dyDescent="0.25">
      <c r="A193" s="2">
        <v>75.5</v>
      </c>
      <c r="B193" s="2">
        <v>9.9</v>
      </c>
    </row>
    <row r="194" spans="1:2" x14ac:dyDescent="0.25">
      <c r="A194" s="2">
        <v>17.2</v>
      </c>
      <c r="B194" s="2">
        <v>5.9</v>
      </c>
    </row>
    <row r="195" spans="1:2" x14ac:dyDescent="0.25">
      <c r="A195" s="2">
        <v>166.8</v>
      </c>
      <c r="B195" s="2">
        <v>19.600000000000001</v>
      </c>
    </row>
    <row r="196" spans="1:2" x14ac:dyDescent="0.25">
      <c r="A196" s="2">
        <v>149.69999999999999</v>
      </c>
      <c r="B196" s="2">
        <v>17.3</v>
      </c>
    </row>
    <row r="197" spans="1:2" x14ac:dyDescent="0.25">
      <c r="A197" s="2">
        <v>38.200000000000003</v>
      </c>
      <c r="B197" s="2">
        <v>7.6</v>
      </c>
    </row>
    <row r="198" spans="1:2" x14ac:dyDescent="0.25">
      <c r="A198" s="2">
        <v>94.2</v>
      </c>
      <c r="B198" s="2">
        <v>9.6999999999999993</v>
      </c>
    </row>
    <row r="199" spans="1:2" x14ac:dyDescent="0.25">
      <c r="A199" s="2">
        <v>177</v>
      </c>
      <c r="B199" s="2">
        <v>12.8</v>
      </c>
    </row>
    <row r="200" spans="1:2" x14ac:dyDescent="0.25">
      <c r="A200" s="2">
        <v>283.60000000000002</v>
      </c>
      <c r="B200" s="2">
        <v>25.5</v>
      </c>
    </row>
    <row r="201" spans="1:2" x14ac:dyDescent="0.25">
      <c r="A201" s="2">
        <v>232.1</v>
      </c>
      <c r="B201" s="2">
        <v>13.4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C9355FE385D4BB3E7CA41C99F6812" ma:contentTypeVersion="10" ma:contentTypeDescription="Create a new document." ma:contentTypeScope="" ma:versionID="4555a201bd479c1931a66d8df404bbe9">
  <xsd:schema xmlns:xsd="http://www.w3.org/2001/XMLSchema" xmlns:xs="http://www.w3.org/2001/XMLSchema" xmlns:p="http://schemas.microsoft.com/office/2006/metadata/properties" xmlns:ns3="f977574b-c9ef-49c2-ba42-fb3492fac32a" targetNamespace="http://schemas.microsoft.com/office/2006/metadata/properties" ma:root="true" ma:fieldsID="248110742431d7a71e37fa144349cabe" ns3:_="">
    <xsd:import namespace="f977574b-c9ef-49c2-ba42-fb3492fac3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574b-c9ef-49c2-ba42-fb3492fac3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77574b-c9ef-49c2-ba42-fb3492fac3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1149BB-0649-42B7-A982-974E2635F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574b-c9ef-49c2-ba42-fb3492fac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CCC317-BA17-4A47-8E6C-F724C257BA1C}">
  <ds:schemaRefs>
    <ds:schemaRef ds:uri="http://schemas.microsoft.com/office/2006/documentManagement/types"/>
    <ds:schemaRef ds:uri="http://purl.org/dc/terms/"/>
    <ds:schemaRef ds:uri="f977574b-c9ef-49c2-ba42-fb3492fac32a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F8175D-7086-4109-8CBB-235B669852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Context</vt:lpstr>
      <vt:lpstr>Task</vt:lpstr>
      <vt:lpstr>Task 1 (Scatterplot Creation)</vt:lpstr>
      <vt:lpstr>Task 2 (Regression Analysis)</vt:lpstr>
      <vt:lpstr>Task 3 (Residual Analysis)</vt:lpstr>
      <vt:lpstr>Task 4 (Confidence Intervals)</vt:lpstr>
      <vt:lpstr>Task 5 (Hypothesis Testing)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Dymova, Maria</dc:creator>
  <cp:keywords/>
  <dc:description/>
  <cp:lastModifiedBy>UG-Talocka, Deividas</cp:lastModifiedBy>
  <cp:revision/>
  <dcterms:created xsi:type="dcterms:W3CDTF">2024-11-14T17:12:16Z</dcterms:created>
  <dcterms:modified xsi:type="dcterms:W3CDTF">2024-12-20T12:25:34Z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2024-11-09T21:01:31Z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193a9c53-0d62-477b-aeef-86584ef9fda2</vt:lpwstr>
  </property>
  <property fmtid="{D5CDD505-2E9C-101B-9397-08002B2CF9AE}" pid="8" name="MSIP_Label_06c24981-b6df-48f8-949b-0896357b9b03_ContentBits">
    <vt:lpwstr>0</vt:lpwstr>
  </property>
  <property fmtid="{D5CDD505-2E9C-101B-9397-08002B2CF9AE}" pid="9" name="ContentTypeId">
    <vt:lpwstr>0x010100C43C9355FE385D4BB3E7CA41C99F6812</vt:lpwstr>
  </property>
</Properties>
</file>